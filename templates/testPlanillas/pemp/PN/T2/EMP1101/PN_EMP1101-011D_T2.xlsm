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emf" ContentType="image/x-emf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 workbookPassword="D87F" lockStructure="1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1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5" formatCode="&quot;ED&quot;"/>
    </dxf>
    <dxf>
      <numFmt numFmtId="166" formatCode="&quot;AD&quot;"/>
    </dxf>
    <dxf>
      <numFmt numFmtId="167" formatCode="&quot;DA&quot;"/>
    </dxf>
    <dxf>
      <numFmt numFmtId="168" formatCode="&quot;DP&quot;"/>
    </dxf>
    <dxf>
      <numFmt numFmtId="169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2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12"/>
    <col hidden="1" width="7" customWidth="1" min="13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24114627</v>
      </c>
      <c r="D1" s="4" t="n"/>
      <c r="DU1" s="3" t="inlineStr">
        <is>
          <t>MENTALIDAD EMPRENDEDORA</t>
        </is>
      </c>
      <c r="DV1" s="3" t="inlineStr">
        <is>
          <t>Evaluación Experiencia de Aprendizaje Número 1</t>
        </is>
      </c>
      <c r="DW1" t="inlineStr">
        <is>
          <t>Evaluación Experiencia de Aprendizaje Número 1</t>
        </is>
      </c>
      <c r="DX1" s="39" t="inlineStr">
        <is>
          <t>EMP1101</t>
        </is>
      </c>
      <c r="DY1" s="39" t="n">
        <v>1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ALVAREZ RIVERA BENJAMIN BASTIAN</t>
        </is>
      </c>
      <c r="C10" s="14" t="inlineStr">
        <is>
          <t>217607108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L10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BASCUNAN SANTANDER BASTHIAN LUIS</t>
        </is>
      </c>
      <c r="C11" s="18" t="inlineStr">
        <is>
          <t>205902058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L11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BERRIOS PEREZ DONDUP DORJE</t>
        </is>
      </c>
      <c r="C12" s="14" t="inlineStr">
        <is>
          <t>206728779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L12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BRAVO RIVADENEIRA BENJAMIN</t>
        </is>
      </c>
      <c r="C13" s="18" t="inlineStr">
        <is>
          <t>210113371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L13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CALDERON CHAHUAYO JAVIER IGNACIO</t>
        </is>
      </c>
      <c r="C14" s="14" t="inlineStr">
        <is>
          <t>214722380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L14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CALFIN HUENTEN LORENA BETSABE</t>
        </is>
      </c>
      <c r="C15" s="14" t="inlineStr">
        <is>
          <t>213322648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L15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CARRIEL GALAZ MARTIN IGNACIO</t>
        </is>
      </c>
      <c r="C16" s="18" t="inlineStr">
        <is>
          <t>216857194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L16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CONTRERAS CLAVERIE ELIU</t>
        </is>
      </c>
      <c r="C17" s="14" t="inlineStr">
        <is>
          <t>208860569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L17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CORVALAN ROMERO DIEGO FERNANDO</t>
        </is>
      </c>
      <c r="C18" s="14" t="inlineStr">
        <is>
          <t>230398321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L18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DONOSO ALARCON VICENTE IGNACIO</t>
        </is>
      </c>
      <c r="C19" s="18" t="inlineStr">
        <is>
          <t>216018079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L19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FERNANDEZ QUEZADA DARYEN NICOLAS</t>
        </is>
      </c>
      <c r="C20" s="18" t="inlineStr">
        <is>
          <t>212617903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L20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FLORES GALLEGOS DIEGO EXEQUIEL</t>
        </is>
      </c>
      <c r="C21" s="18" t="inlineStr">
        <is>
          <t>208304453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L21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FLORES MONRROY LEANDRO DANILO</t>
        </is>
      </c>
      <c r="C22" s="18" t="inlineStr">
        <is>
          <t>217240239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L22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FUENTES DEL CAMPO ALEJANDRO DANIEL</t>
        </is>
      </c>
      <c r="C23" s="18" t="inlineStr">
        <is>
          <t>211251395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L23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FUENZALIDA CHANDIA IGNACIO JAVIER</t>
        </is>
      </c>
      <c r="C24" s="18" t="inlineStr">
        <is>
          <t>214013541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L24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GALVEZ HUERTA JAVIER</t>
        </is>
      </c>
      <c r="C25" s="18" t="inlineStr">
        <is>
          <t>21342937K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L25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GARCES CASTANEDA DIEGO JOAQUIN</t>
        </is>
      </c>
      <c r="C26" s="18" t="inlineStr">
        <is>
          <t>205763651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L26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GARCIA ALHUAY CRISTOPHER SEBASTIAN</t>
        </is>
      </c>
      <c r="C27" s="18" t="inlineStr">
        <is>
          <t>215545091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L27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GUERRA CASTRO FELIPE ANDRES</t>
        </is>
      </c>
      <c r="C28" s="18" t="inlineStr">
        <is>
          <t>216675991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L28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HERNANDEZ SCHIAFFINO ROQUE MAICOL</t>
        </is>
      </c>
      <c r="C29" s="18" t="inlineStr">
        <is>
          <t>216877632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L29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HIDALGO TORRES HALEYM</t>
        </is>
      </c>
      <c r="C30" s="18" t="inlineStr">
        <is>
          <t>270189245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L30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HUILCALEO LETELIER JOSE TOMAS</t>
        </is>
      </c>
      <c r="C31" s="18" t="inlineStr">
        <is>
          <t>217397162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L31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JOSEPH JOSEPH PRESLEY</t>
        </is>
      </c>
      <c r="C32" s="18" t="inlineStr">
        <is>
          <t>263080459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L32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LEGUA ROJAS NICOLAS VALENTINO</t>
        </is>
      </c>
      <c r="C33" s="18" t="inlineStr">
        <is>
          <t>215796647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L33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LOPEZ ZAGAL RICARDO ANTONIO</t>
        </is>
      </c>
      <c r="C34" s="18" t="inlineStr">
        <is>
          <t>207553794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L34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MADRID POLANCO ANDY</t>
        </is>
      </c>
      <c r="C35" s="18" t="inlineStr">
        <is>
          <t>216872215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L35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MELQUIADES FERNANDEZ NICOLAS ANDRES</t>
        </is>
      </c>
      <c r="C36" s="18" t="inlineStr">
        <is>
          <t>201993369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L36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NEGRETE SALAZAR MATIAS NICOLAS</t>
        </is>
      </c>
      <c r="C37" s="18" t="inlineStr">
        <is>
          <t>216145062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L37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NUNEZ BARRAZA MARTIN ALEJANDRO</t>
        </is>
      </c>
      <c r="C38" s="18" t="inlineStr">
        <is>
          <t>20676161K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L38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NUÑEZ SALAZAR BASTIAN ALONSO</t>
        </is>
      </c>
      <c r="C39" s="18" t="inlineStr">
        <is>
          <t>218371612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L39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OPAZO LOPEZ FLAVIO DE JESUS</t>
        </is>
      </c>
      <c r="C40" s="18" t="inlineStr">
        <is>
          <t>206346167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L40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PARRA RAMIREZ BENJAMIN ARIEL</t>
        </is>
      </c>
      <c r="C41" s="18" t="inlineStr">
        <is>
          <t>217904722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L41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QUILODRAN AGUILERA HANKO IGNACIO</t>
        </is>
      </c>
      <c r="C42" s="18" t="inlineStr">
        <is>
          <t>207505447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L42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REMIGIO REYES NIXON RAUL</t>
        </is>
      </c>
      <c r="C43" s="18" t="inlineStr">
        <is>
          <t>214139316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L43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RIVERA ALVAREZ VICENTE ALONSO</t>
        </is>
      </c>
      <c r="C44" s="18" t="inlineStr">
        <is>
          <t>217681839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L44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ROMERO SALVADOR MAICKEL</t>
        </is>
      </c>
      <c r="C45" s="18" t="inlineStr">
        <is>
          <t>217094135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L45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SEPULVEDA AVENDAÑO SIMON ENRIQUE</t>
        </is>
      </c>
      <c r="C46" s="18" t="inlineStr">
        <is>
          <t>217921589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L46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SOLIS RUBILAR IGNACIO</t>
        </is>
      </c>
      <c r="C47" s="18" t="inlineStr">
        <is>
          <t>205974660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L47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SOTO VARAS SEBASTIAN IGNACIO</t>
        </is>
      </c>
      <c r="C48" s="18" t="inlineStr">
        <is>
          <t>216700317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L48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TOLEDO MIRANDA ESTEBAN AARON</t>
        </is>
      </c>
      <c r="C49" s="18" t="inlineStr">
        <is>
          <t>217167914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L49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VASQUEZ LEAL AARON EXEQUIEL</t>
        </is>
      </c>
      <c r="C50" s="18" t="inlineStr">
        <is>
          <t>214547740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L50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>
      <c r="A51" s="17" t="n">
        <v>42</v>
      </c>
      <c r="B51" s="18" t="inlineStr">
        <is>
          <t>VEGA GARRIDO ALEXIS ISAIAS</t>
        </is>
      </c>
      <c r="C51" s="18" t="inlineStr">
        <is>
          <t>209758180</t>
        </is>
      </c>
      <c r="D51" s="1" t="n"/>
      <c r="E51" s="28" t="n"/>
      <c r="F51" s="19" t="n"/>
      <c r="G51" s="19" t="n"/>
      <c r="H51" s="19" t="n"/>
      <c r="I51" s="19" t="n"/>
      <c r="J51" s="19" t="n"/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  <c r="X51" s="19" t="n"/>
      <c r="Y51" s="19" t="n"/>
      <c r="Z51" s="19" t="n"/>
      <c r="AA51" s="19" t="n"/>
      <c r="AB51" s="19" t="n"/>
      <c r="AC51" s="19" t="n"/>
      <c r="AD51" s="19" t="n"/>
      <c r="AE51" s="19" t="n"/>
      <c r="AF51" s="19" t="n"/>
      <c r="AG51" s="19" t="n"/>
      <c r="AH51" s="19" t="n"/>
      <c r="AI51" s="19" t="n"/>
      <c r="AJ51" s="19" t="n"/>
      <c r="AK51" s="19" t="n"/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  <c r="BK51" s="19" t="n"/>
      <c r="BL51" s="29" t="n"/>
      <c r="BM51">
        <f>IFERROR(VLOOKUP(BM$6,Hoja1!$F$2:$XFD$61,E51+4,FALSE),0)</f>
        <v/>
      </c>
      <c r="BN51">
        <f>IFERROR(VLOOKUP(BN$6,Hoja1!$F$2:$XFD$61,F51+4,FALSE),0)</f>
        <v/>
      </c>
      <c r="BO51">
        <f>IFERROR(VLOOKUP(BO$6,Hoja1!$F$2:$XFD$61,G51+4,FALSE),0)</f>
        <v/>
      </c>
      <c r="BP51">
        <f>IFERROR(VLOOKUP(BP$6,Hoja1!$F$2:$XFD$61,H51+4,FALSE),0)</f>
        <v/>
      </c>
      <c r="BQ51">
        <f>IFERROR(VLOOKUP(BQ$6,Hoja1!$F$2:$XFD$61,I51+4,FALSE),0)</f>
        <v/>
      </c>
      <c r="BR51">
        <f>IFERROR(VLOOKUP(BR$6,Hoja1!$F$2:$XFD$61,J51+4,FALSE),0)</f>
        <v/>
      </c>
      <c r="BS51">
        <f>IFERROR(VLOOKUP(BS$6,Hoja1!$F$2:$XFD$61,K51+4,FALSE),0)</f>
        <v/>
      </c>
      <c r="BT51">
        <f>L51</f>
        <v/>
      </c>
      <c r="BU51">
        <f>IFERROR(VLOOKUP(BU$6,Hoja1!$F$2:$XFD$61,M51+4,FALSE),0)</f>
        <v/>
      </c>
      <c r="BV51">
        <f>IFERROR(VLOOKUP(BV$6,Hoja1!$F$2:$XFD$61,N51+4,FALSE),0)</f>
        <v/>
      </c>
      <c r="BW51">
        <f>IFERROR(VLOOKUP(BW$6,Hoja1!$F$2:$XFD$61,O51+4,FALSE),0)</f>
        <v/>
      </c>
      <c r="BX51">
        <f>IFERROR(VLOOKUP(BX$6,Hoja1!$F$2:$XFD$61,P51+4,FALSE),0)</f>
        <v/>
      </c>
      <c r="BY51">
        <f>IFERROR(VLOOKUP(BY$6,Hoja1!$F$2:$XFD$61,Q51+4,FALSE),0)</f>
        <v/>
      </c>
      <c r="BZ51">
        <f>IFERROR(VLOOKUP(BZ$6,Hoja1!$F$2:$XFD$61,R51+4,FALSE),0)</f>
        <v/>
      </c>
      <c r="CA51">
        <f>IFERROR(VLOOKUP(CA$6,Hoja1!$F$2:$XFD$61,S51+4,FALSE),0)</f>
        <v/>
      </c>
      <c r="CB51">
        <f>IFERROR(VLOOKUP(CB$6,Hoja1!$F$2:$XFD$61,T51+4,FALSE),0)</f>
        <v/>
      </c>
      <c r="CC51">
        <f>IFERROR(VLOOKUP(CC$6,Hoja1!$F$2:$XFD$61,U51+4,FALSE),0)</f>
        <v/>
      </c>
      <c r="CD51">
        <f>IFERROR(VLOOKUP(CD$6,Hoja1!$F$2:$XFD$61,V51+4,FALSE),0)</f>
        <v/>
      </c>
      <c r="CE51">
        <f>IFERROR(VLOOKUP(CE$6,Hoja1!$F$2:$XFD$61,W51+4,FALSE),0)</f>
        <v/>
      </c>
      <c r="CF51">
        <f>IFERROR(VLOOKUP(CF$6,Hoja1!$F$2:$XFD$61,X51+4,FALSE),0)</f>
        <v/>
      </c>
      <c r="CG51">
        <f>IFERROR(VLOOKUP(CG$6,Hoja1!$F$2:$XFD$61,Y51+4,FALSE),0)</f>
        <v/>
      </c>
      <c r="CH51">
        <f>IFERROR(VLOOKUP(CH$6,Hoja1!$F$2:$XFD$61,Z51+4,FALSE),0)</f>
        <v/>
      </c>
      <c r="CI51">
        <f>IFERROR(VLOOKUP(CI$6,Hoja1!$F$2:$XFD$61,AA51+4,FALSE),0)</f>
        <v/>
      </c>
      <c r="CJ51">
        <f>IFERROR(VLOOKUP(CJ$6,Hoja1!$F$2:$XFD$61,AB51+4,FALSE),0)</f>
        <v/>
      </c>
      <c r="CK51">
        <f>IFERROR(VLOOKUP(CK$6,Hoja1!$F$2:$XFD$61,AC51+4,FALSE),0)</f>
        <v/>
      </c>
      <c r="CL51">
        <f>IFERROR(VLOOKUP(CL$6,Hoja1!$F$2:$XFD$61,AD51+4,FALSE),0)</f>
        <v/>
      </c>
      <c r="CM51">
        <f>IFERROR(VLOOKUP(CM$6,Hoja1!$F$2:$XFD$61,AE51+4,FALSE),0)</f>
        <v/>
      </c>
      <c r="CN51">
        <f>IFERROR(VLOOKUP(CN$6,Hoja1!$F$2:$XFD$61,AF51+4,FALSE),0)</f>
        <v/>
      </c>
      <c r="CO51">
        <f>IFERROR(VLOOKUP(CO$6,Hoja1!$F$2:$XFD$61,AG51+4,FALSE),0)</f>
        <v/>
      </c>
      <c r="CP51">
        <f>IFERROR(VLOOKUP(CP$6,Hoja1!$F$2:$XFD$61,AH51+4,FALSE),0)</f>
        <v/>
      </c>
      <c r="CQ51">
        <f>IFERROR(VLOOKUP(CQ$6,Hoja1!$F$2:$XFD$61,AI51+4,FALSE),0)</f>
        <v/>
      </c>
      <c r="CR51">
        <f>IFERROR(VLOOKUP(CR$6,Hoja1!$F$2:$XFD$61,AJ51+4,FALSE),0)</f>
        <v/>
      </c>
      <c r="CS51">
        <f>IFERROR(VLOOKUP(CS$6,Hoja1!$F$2:$XFD$61,AK51+4,FALSE),0)</f>
        <v/>
      </c>
      <c r="CT51">
        <f>IFERROR(VLOOKUP(CT$6,Hoja1!$F$2:$XFD$61,AL51+4,FALSE),0)</f>
        <v/>
      </c>
      <c r="CU51">
        <f>IFERROR(VLOOKUP(CU$6,Hoja1!$F$2:$XFD$61,AM51+4,FALSE),0)</f>
        <v/>
      </c>
      <c r="CV51">
        <f>IFERROR(VLOOKUP(CV$6,Hoja1!$F$2:$XFD$61,AN51+4,FALSE),0)</f>
        <v/>
      </c>
      <c r="CW51">
        <f>IFERROR(VLOOKUP(CW$6,Hoja1!$F$2:$XFD$61,AO51+4,FALSE),0)</f>
        <v/>
      </c>
      <c r="CX51">
        <f>IFERROR(VLOOKUP(CX$6,Hoja1!$F$2:$XFD$61,AP51+4,FALSE),0)</f>
        <v/>
      </c>
      <c r="CY51">
        <f>IFERROR(VLOOKUP(CY$6,Hoja1!$F$2:$XFD$61,AQ51+4,FALSE),0)</f>
        <v/>
      </c>
      <c r="CZ51">
        <f>IFERROR(VLOOKUP(CZ$6,Hoja1!$F$2:$XFD$61,AR51+4,FALSE),0)</f>
        <v/>
      </c>
      <c r="DA51">
        <f>IFERROR(VLOOKUP(DA$6,Hoja1!$F$2:$XFD$61,AS51+4,FALSE),0)</f>
        <v/>
      </c>
      <c r="DB51">
        <f>IFERROR(VLOOKUP(DB$6,Hoja1!$F$2:$XFD$61,AT51+4,FALSE),0)</f>
        <v/>
      </c>
      <c r="DC51">
        <f>IFERROR(VLOOKUP(DC$6,Hoja1!$F$2:$XFD$61,AU51+4,FALSE),0)</f>
        <v/>
      </c>
      <c r="DD51">
        <f>IFERROR(VLOOKUP(DD$6,Hoja1!$F$2:$XFD$61,AV51+4,FALSE),0)</f>
        <v/>
      </c>
      <c r="DE51">
        <f>IFERROR(VLOOKUP(DE$6,Hoja1!$F$2:$XFD$61,AW51+4,FALSE),0)</f>
        <v/>
      </c>
      <c r="DF51">
        <f>IFERROR(VLOOKUP(DF$6,Hoja1!$F$2:$XFD$61,AX51+4,FALSE),0)</f>
        <v/>
      </c>
      <c r="DG51">
        <f>IFERROR(VLOOKUP(DG$6,Hoja1!$F$2:$XFD$61,AY51+4,FALSE),0)</f>
        <v/>
      </c>
      <c r="DH51">
        <f>IFERROR(VLOOKUP(DH$6,Hoja1!$F$2:$XFD$61,AZ51+4,FALSE),0)</f>
        <v/>
      </c>
      <c r="DI51">
        <f>IFERROR(VLOOKUP(DI$6,Hoja1!$F$2:$XFD$61,BA51+4,FALSE),0)</f>
        <v/>
      </c>
      <c r="DJ51">
        <f>IFERROR(VLOOKUP(DJ$6,Hoja1!$F$2:$XFD$61,BB51+4,FALSE),0)</f>
        <v/>
      </c>
      <c r="DK51">
        <f>IFERROR(VLOOKUP(DK$6,Hoja1!$F$2:$XFD$61,BC51+4,FALSE),0)</f>
        <v/>
      </c>
      <c r="DL51">
        <f>IFERROR(VLOOKUP(DL$6,Hoja1!$F$2:$XFD$61,BD51+4,FALSE),0)</f>
        <v/>
      </c>
      <c r="DM51">
        <f>IFERROR(VLOOKUP(DM$6,Hoja1!$F$2:$XFD$61,BE51+4,FALSE),0)</f>
        <v/>
      </c>
      <c r="DN51">
        <f>IFERROR(VLOOKUP(DN$6,Hoja1!$F$2:$XFD$61,BF51+4,FALSE),0)</f>
        <v/>
      </c>
      <c r="DO51">
        <f>IFERROR(VLOOKUP(DO$6,Hoja1!$F$2:$XFD$61,BG51+4,FALSE),0)</f>
        <v/>
      </c>
      <c r="DP51">
        <f>IFERROR(VLOOKUP(DP$6,Hoja1!$F$2:$XFD$61,BH51+4,FALSE),0)</f>
        <v/>
      </c>
      <c r="DQ51">
        <f>IFERROR(VLOOKUP(DQ$6,Hoja1!$F$2:$XFD$61,BI51+4,FALSE),0)</f>
        <v/>
      </c>
      <c r="DR51">
        <f>IFERROR(VLOOKUP(DR$6,Hoja1!$F$2:$XFD$61,BJ51+4,FALSE),0)</f>
        <v/>
      </c>
      <c r="DS51">
        <f>IFERROR(VLOOKUP(DS$6,Hoja1!$F$2:$XFD$61,BK51+4,FALSE),0)</f>
        <v/>
      </c>
      <c r="DT51">
        <f>IFERROR(VLOOKUP(DT$6,Hoja1!$F$2:$XFD$61,BL51+4,FALSE),0)</f>
        <v/>
      </c>
      <c r="DU51" s="15">
        <f>IF(COUNT(E51:BL51)=$DV$7,IF(D51="","indique grupo",SUM(BM51:DT51)),"")</f>
        <v/>
      </c>
      <c r="DV51" s="16">
        <f>IF(D51&lt;&gt;"",IF(DU51="","",IF(DU51&gt;=$DU$7*Hoja1!$E$2,4+3/($DU$7*(1-Hoja1!$E$2))*(DU51-$DU$7*Hoja1!$E$2),1+3/($DU$7*Hoja1!$E$2)*DU51)),DU51)</f>
        <v/>
      </c>
      <c r="DW51" s="47" t="b">
        <v>0</v>
      </c>
    </row>
    <row r="52" ht="23.25" customHeight="1">
      <c r="A52" s="17" t="n">
        <v>43</v>
      </c>
      <c r="B52" s="18" t="inlineStr">
        <is>
          <t>VERGARA CARRASCO JORDAN MAURICIO</t>
        </is>
      </c>
      <c r="C52" s="18" t="inlineStr">
        <is>
          <t>215412504</t>
        </is>
      </c>
      <c r="D52" s="1" t="n"/>
      <c r="E52" s="28" t="n"/>
      <c r="F52" s="19" t="n"/>
      <c r="G52" s="19" t="n"/>
      <c r="H52" s="19" t="n"/>
      <c r="I52" s="19" t="n"/>
      <c r="J52" s="19" t="n"/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  <c r="X52" s="19" t="n"/>
      <c r="Y52" s="19" t="n"/>
      <c r="Z52" s="19" t="n"/>
      <c r="AA52" s="19" t="n"/>
      <c r="AB52" s="19" t="n"/>
      <c r="AC52" s="19" t="n"/>
      <c r="AD52" s="19" t="n"/>
      <c r="AE52" s="19" t="n"/>
      <c r="AF52" s="19" t="n"/>
      <c r="AG52" s="19" t="n"/>
      <c r="AH52" s="19" t="n"/>
      <c r="AI52" s="19" t="n"/>
      <c r="AJ52" s="19" t="n"/>
      <c r="AK52" s="19" t="n"/>
      <c r="AL52" s="19" t="n"/>
      <c r="AM52" s="19" t="n"/>
      <c r="AN52" s="19" t="n"/>
      <c r="AO52" s="19" t="n"/>
      <c r="AP52" s="19" t="n"/>
      <c r="AQ52" s="19" t="n"/>
      <c r="AR52" s="19" t="n"/>
      <c r="AS52" s="19" t="n"/>
      <c r="AT52" s="19" t="n"/>
      <c r="AU52" s="19" t="n"/>
      <c r="AV52" s="19" t="n"/>
      <c r="AW52" s="19" t="n"/>
      <c r="AX52" s="19" t="n"/>
      <c r="AY52" s="19" t="n"/>
      <c r="AZ52" s="19" t="n"/>
      <c r="BA52" s="19" t="n"/>
      <c r="BB52" s="19" t="n"/>
      <c r="BC52" s="19" t="n"/>
      <c r="BD52" s="19" t="n"/>
      <c r="BE52" s="19" t="n"/>
      <c r="BF52" s="19" t="n"/>
      <c r="BG52" s="19" t="n"/>
      <c r="BH52" s="19" t="n"/>
      <c r="BI52" s="19" t="n"/>
      <c r="BJ52" s="19" t="n"/>
      <c r="BK52" s="19" t="n"/>
      <c r="BL52" s="29" t="n"/>
      <c r="BM52">
        <f>IFERROR(VLOOKUP(BM$6,Hoja1!$F$2:$XFD$61,E52+4,FALSE),0)</f>
        <v/>
      </c>
      <c r="BN52">
        <f>IFERROR(VLOOKUP(BN$6,Hoja1!$F$2:$XFD$61,F52+4,FALSE),0)</f>
        <v/>
      </c>
      <c r="BO52">
        <f>IFERROR(VLOOKUP(BO$6,Hoja1!$F$2:$XFD$61,G52+4,FALSE),0)</f>
        <v/>
      </c>
      <c r="BP52">
        <f>IFERROR(VLOOKUP(BP$6,Hoja1!$F$2:$XFD$61,H52+4,FALSE),0)</f>
        <v/>
      </c>
      <c r="BQ52">
        <f>IFERROR(VLOOKUP(BQ$6,Hoja1!$F$2:$XFD$61,I52+4,FALSE),0)</f>
        <v/>
      </c>
      <c r="BR52">
        <f>IFERROR(VLOOKUP(BR$6,Hoja1!$F$2:$XFD$61,J52+4,FALSE),0)</f>
        <v/>
      </c>
      <c r="BS52">
        <f>IFERROR(VLOOKUP(BS$6,Hoja1!$F$2:$XFD$61,K52+4,FALSE),0)</f>
        <v/>
      </c>
      <c r="BT52">
        <f>L52</f>
        <v/>
      </c>
      <c r="BU52">
        <f>IFERROR(VLOOKUP(BU$6,Hoja1!$F$2:$XFD$61,M52+4,FALSE),0)</f>
        <v/>
      </c>
      <c r="BV52">
        <f>IFERROR(VLOOKUP(BV$6,Hoja1!$F$2:$XFD$61,N52+4,FALSE),0)</f>
        <v/>
      </c>
      <c r="BW52">
        <f>IFERROR(VLOOKUP(BW$6,Hoja1!$F$2:$XFD$61,O52+4,FALSE),0)</f>
        <v/>
      </c>
      <c r="BX52">
        <f>IFERROR(VLOOKUP(BX$6,Hoja1!$F$2:$XFD$61,P52+4,FALSE),0)</f>
        <v/>
      </c>
      <c r="BY52">
        <f>IFERROR(VLOOKUP(BY$6,Hoja1!$F$2:$XFD$61,Q52+4,FALSE),0)</f>
        <v/>
      </c>
      <c r="BZ52">
        <f>IFERROR(VLOOKUP(BZ$6,Hoja1!$F$2:$XFD$61,R52+4,FALSE),0)</f>
        <v/>
      </c>
      <c r="CA52">
        <f>IFERROR(VLOOKUP(CA$6,Hoja1!$F$2:$XFD$61,S52+4,FALSE),0)</f>
        <v/>
      </c>
      <c r="CB52">
        <f>IFERROR(VLOOKUP(CB$6,Hoja1!$F$2:$XFD$61,T52+4,FALSE),0)</f>
        <v/>
      </c>
      <c r="CC52">
        <f>IFERROR(VLOOKUP(CC$6,Hoja1!$F$2:$XFD$61,U52+4,FALSE),0)</f>
        <v/>
      </c>
      <c r="CD52">
        <f>IFERROR(VLOOKUP(CD$6,Hoja1!$F$2:$XFD$61,V52+4,FALSE),0)</f>
        <v/>
      </c>
      <c r="CE52">
        <f>IFERROR(VLOOKUP(CE$6,Hoja1!$F$2:$XFD$61,W52+4,FALSE),0)</f>
        <v/>
      </c>
      <c r="CF52">
        <f>IFERROR(VLOOKUP(CF$6,Hoja1!$F$2:$XFD$61,X52+4,FALSE),0)</f>
        <v/>
      </c>
      <c r="CG52">
        <f>IFERROR(VLOOKUP(CG$6,Hoja1!$F$2:$XFD$61,Y52+4,FALSE),0)</f>
        <v/>
      </c>
      <c r="CH52">
        <f>IFERROR(VLOOKUP(CH$6,Hoja1!$F$2:$XFD$61,Z52+4,FALSE),0)</f>
        <v/>
      </c>
      <c r="CI52">
        <f>IFERROR(VLOOKUP(CI$6,Hoja1!$F$2:$XFD$61,AA52+4,FALSE),0)</f>
        <v/>
      </c>
      <c r="CJ52">
        <f>IFERROR(VLOOKUP(CJ$6,Hoja1!$F$2:$XFD$61,AB52+4,FALSE),0)</f>
        <v/>
      </c>
      <c r="CK52">
        <f>IFERROR(VLOOKUP(CK$6,Hoja1!$F$2:$XFD$61,AC52+4,FALSE),0)</f>
        <v/>
      </c>
      <c r="CL52">
        <f>IFERROR(VLOOKUP(CL$6,Hoja1!$F$2:$XFD$61,AD52+4,FALSE),0)</f>
        <v/>
      </c>
      <c r="CM52">
        <f>IFERROR(VLOOKUP(CM$6,Hoja1!$F$2:$XFD$61,AE52+4,FALSE),0)</f>
        <v/>
      </c>
      <c r="CN52">
        <f>IFERROR(VLOOKUP(CN$6,Hoja1!$F$2:$XFD$61,AF52+4,FALSE),0)</f>
        <v/>
      </c>
      <c r="CO52">
        <f>IFERROR(VLOOKUP(CO$6,Hoja1!$F$2:$XFD$61,AG52+4,FALSE),0)</f>
        <v/>
      </c>
      <c r="CP52">
        <f>IFERROR(VLOOKUP(CP$6,Hoja1!$F$2:$XFD$61,AH52+4,FALSE),0)</f>
        <v/>
      </c>
      <c r="CQ52">
        <f>IFERROR(VLOOKUP(CQ$6,Hoja1!$F$2:$XFD$61,AI52+4,FALSE),0)</f>
        <v/>
      </c>
      <c r="CR52">
        <f>IFERROR(VLOOKUP(CR$6,Hoja1!$F$2:$XFD$61,AJ52+4,FALSE),0)</f>
        <v/>
      </c>
      <c r="CS52">
        <f>IFERROR(VLOOKUP(CS$6,Hoja1!$F$2:$XFD$61,AK52+4,FALSE),0)</f>
        <v/>
      </c>
      <c r="CT52">
        <f>IFERROR(VLOOKUP(CT$6,Hoja1!$F$2:$XFD$61,AL52+4,FALSE),0)</f>
        <v/>
      </c>
      <c r="CU52">
        <f>IFERROR(VLOOKUP(CU$6,Hoja1!$F$2:$XFD$61,AM52+4,FALSE),0)</f>
        <v/>
      </c>
      <c r="CV52">
        <f>IFERROR(VLOOKUP(CV$6,Hoja1!$F$2:$XFD$61,AN52+4,FALSE),0)</f>
        <v/>
      </c>
      <c r="CW52">
        <f>IFERROR(VLOOKUP(CW$6,Hoja1!$F$2:$XFD$61,AO52+4,FALSE),0)</f>
        <v/>
      </c>
      <c r="CX52">
        <f>IFERROR(VLOOKUP(CX$6,Hoja1!$F$2:$XFD$61,AP52+4,FALSE),0)</f>
        <v/>
      </c>
      <c r="CY52">
        <f>IFERROR(VLOOKUP(CY$6,Hoja1!$F$2:$XFD$61,AQ52+4,FALSE),0)</f>
        <v/>
      </c>
      <c r="CZ52">
        <f>IFERROR(VLOOKUP(CZ$6,Hoja1!$F$2:$XFD$61,AR52+4,FALSE),0)</f>
        <v/>
      </c>
      <c r="DA52">
        <f>IFERROR(VLOOKUP(DA$6,Hoja1!$F$2:$XFD$61,AS52+4,FALSE),0)</f>
        <v/>
      </c>
      <c r="DB52">
        <f>IFERROR(VLOOKUP(DB$6,Hoja1!$F$2:$XFD$61,AT52+4,FALSE),0)</f>
        <v/>
      </c>
      <c r="DC52">
        <f>IFERROR(VLOOKUP(DC$6,Hoja1!$F$2:$XFD$61,AU52+4,FALSE),0)</f>
        <v/>
      </c>
      <c r="DD52">
        <f>IFERROR(VLOOKUP(DD$6,Hoja1!$F$2:$XFD$61,AV52+4,FALSE),0)</f>
        <v/>
      </c>
      <c r="DE52">
        <f>IFERROR(VLOOKUP(DE$6,Hoja1!$F$2:$XFD$61,AW52+4,FALSE),0)</f>
        <v/>
      </c>
      <c r="DF52">
        <f>IFERROR(VLOOKUP(DF$6,Hoja1!$F$2:$XFD$61,AX52+4,FALSE),0)</f>
        <v/>
      </c>
      <c r="DG52">
        <f>IFERROR(VLOOKUP(DG$6,Hoja1!$F$2:$XFD$61,AY52+4,FALSE),0)</f>
        <v/>
      </c>
      <c r="DH52">
        <f>IFERROR(VLOOKUP(DH$6,Hoja1!$F$2:$XFD$61,AZ52+4,FALSE),0)</f>
        <v/>
      </c>
      <c r="DI52">
        <f>IFERROR(VLOOKUP(DI$6,Hoja1!$F$2:$XFD$61,BA52+4,FALSE),0)</f>
        <v/>
      </c>
      <c r="DJ52">
        <f>IFERROR(VLOOKUP(DJ$6,Hoja1!$F$2:$XFD$61,BB52+4,FALSE),0)</f>
        <v/>
      </c>
      <c r="DK52">
        <f>IFERROR(VLOOKUP(DK$6,Hoja1!$F$2:$XFD$61,BC52+4,FALSE),0)</f>
        <v/>
      </c>
      <c r="DL52">
        <f>IFERROR(VLOOKUP(DL$6,Hoja1!$F$2:$XFD$61,BD52+4,FALSE),0)</f>
        <v/>
      </c>
      <c r="DM52">
        <f>IFERROR(VLOOKUP(DM$6,Hoja1!$F$2:$XFD$61,BE52+4,FALSE),0)</f>
        <v/>
      </c>
      <c r="DN52">
        <f>IFERROR(VLOOKUP(DN$6,Hoja1!$F$2:$XFD$61,BF52+4,FALSE),0)</f>
        <v/>
      </c>
      <c r="DO52">
        <f>IFERROR(VLOOKUP(DO$6,Hoja1!$F$2:$XFD$61,BG52+4,FALSE),0)</f>
        <v/>
      </c>
      <c r="DP52">
        <f>IFERROR(VLOOKUP(DP$6,Hoja1!$F$2:$XFD$61,BH52+4,FALSE),0)</f>
        <v/>
      </c>
      <c r="DQ52">
        <f>IFERROR(VLOOKUP(DQ$6,Hoja1!$F$2:$XFD$61,BI52+4,FALSE),0)</f>
        <v/>
      </c>
      <c r="DR52">
        <f>IFERROR(VLOOKUP(DR$6,Hoja1!$F$2:$XFD$61,BJ52+4,FALSE),0)</f>
        <v/>
      </c>
      <c r="DS52">
        <f>IFERROR(VLOOKUP(DS$6,Hoja1!$F$2:$XFD$61,BK52+4,FALSE),0)</f>
        <v/>
      </c>
      <c r="DT52">
        <f>IFERROR(VLOOKUP(DT$6,Hoja1!$F$2:$XFD$61,BL52+4,FALSE),0)</f>
        <v/>
      </c>
      <c r="DU52" s="15">
        <f>IF(COUNT(E52:BL52)=$DV$7,IF(D52="","indique grupo",SUM(BM52:DT52)),"")</f>
        <v/>
      </c>
      <c r="DV52" s="16">
        <f>IF(D52&lt;&gt;"",IF(DU52="","",IF(DU52&gt;=$DU$7*Hoja1!$E$2,4+3/($DU$7*(1-Hoja1!$E$2))*(DU52-$DU$7*Hoja1!$E$2),1+3/($DU$7*Hoja1!$E$2)*DU52)),DU52)</f>
        <v/>
      </c>
      <c r="DW52" s="47" t="b">
        <v>0</v>
      </c>
    </row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9">
      <formula>IF(MOD(F$8,2)=0,TRUE,FALSE)</formula>
    </cfRule>
  </conditionalFormatting>
  <conditionalFormatting sqref="E7 E9">
    <cfRule type="expression" priority="27" dxfId="9">
      <formula>IF(MOD(E$8,2)=0,TRUE,FALSE)</formula>
    </cfRule>
  </conditionalFormatting>
  <conditionalFormatting sqref="G7:BL7 G9:BL9">
    <cfRule type="expression" priority="26" dxfId="9">
      <formula>IF(MOD(G$8,2)=0,TRUE,FALSE)</formula>
    </cfRule>
  </conditionalFormatting>
  <conditionalFormatting sqref="E8:BL8">
    <cfRule type="expression" priority="25" dxfId="9">
      <formula>IF(MOD(E$8,2)=0,TRUE,FALSE)</formula>
    </cfRule>
  </conditionalFormatting>
  <conditionalFormatting sqref="E10:BL69">
    <cfRule type="expression" priority="8" dxfId="9">
      <formula>IF(MOD(E$8,2)=0,TRUE,FALSE)</formula>
    </cfRule>
  </conditionalFormatting>
  <conditionalFormatting sqref="E9:BL9">
    <cfRule type="cellIs" priority="7" operator="equal" dxfId="8">
      <formula>""</formula>
    </cfRule>
  </conditionalFormatting>
  <conditionalFormatting sqref="DV10:DV69">
    <cfRule type="cellIs" priority="6" operator="lessThan" dxfId="7">
      <formula>3.95</formula>
    </cfRule>
  </conditionalFormatting>
  <conditionalFormatting sqref="E10:K69">
    <cfRule type="cellIs" priority="5" operator="equal" dxfId="6">
      <formula>1</formula>
    </cfRule>
    <cfRule type="cellIs" priority="4" operator="equal" dxfId="5">
      <formula>2</formula>
    </cfRule>
    <cfRule type="cellIs" priority="3" operator="equal" dxfId="4">
      <formula>3</formula>
    </cfRule>
    <cfRule type="cellIs" priority="2" operator="equal" dxfId="3">
      <formula>4</formula>
    </cfRule>
    <cfRule type="cellIs" priority="1" operator="equal" dxfId="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AH121"/>
  <sheetViews>
    <sheetView showGridLines="0" workbookViewId="0">
      <selection activeCell="H11" sqref="H11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DL</t>
        </is>
      </c>
      <c r="C2" s="2" t="inlineStr">
        <is>
          <t>Dominio por lograr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Observación A,E,I,O,U Actividades y entornos.</t>
        </is>
      </c>
      <c r="H2" t="n">
        <v>1</v>
      </c>
      <c r="I2">
        <f>MAX(J2:AK2)</f>
        <v/>
      </c>
      <c r="J2" t="n">
        <v>0</v>
      </c>
      <c r="K2" t="n">
        <v>1.2</v>
      </c>
      <c r="L2" t="n">
        <v>2.4</v>
      </c>
      <c r="M2" t="n">
        <v>3.2</v>
      </c>
      <c r="N2" t="n">
        <v>4</v>
      </c>
    </row>
    <row r="3">
      <c r="A3" s="37" t="n">
        <v>2</v>
      </c>
      <c r="B3" s="2" t="inlineStr">
        <is>
          <t>DP</t>
        </is>
      </c>
      <c r="C3" s="2" t="inlineStr">
        <is>
          <t>Dominio en proceso</t>
        </is>
      </c>
      <c r="D3" s="2" t="n">
        <v>1.2</v>
      </c>
      <c r="E3" t="n">
        <v>0.6</v>
      </c>
      <c r="F3" t="n">
        <v>2</v>
      </c>
      <c r="G3" t="inlineStr">
        <is>
          <t>2.  Observación A,E,I,O,U Interacciones y Objetos.</t>
        </is>
      </c>
      <c r="H3" t="n">
        <v>2</v>
      </c>
      <c r="I3">
        <f>MAX(J3:AK3)</f>
        <v/>
      </c>
      <c r="J3" t="n">
        <v>0</v>
      </c>
      <c r="K3" t="n">
        <v>1.2</v>
      </c>
      <c r="L3" t="n">
        <v>2.4</v>
      </c>
      <c r="M3" t="n">
        <v>3.2</v>
      </c>
      <c r="N3" t="n">
        <v>4</v>
      </c>
    </row>
    <row r="4">
      <c r="A4" s="37" t="n">
        <v>3</v>
      </c>
      <c r="B4" s="2" t="inlineStr">
        <is>
          <t>DA</t>
        </is>
      </c>
      <c r="C4" s="2" t="inlineStr">
        <is>
          <t>Dominio aceptable</t>
        </is>
      </c>
      <c r="D4" s="2" t="n">
        <v>2.4</v>
      </c>
      <c r="F4" t="n">
        <v>3</v>
      </c>
      <c r="G4" t="inlineStr">
        <is>
          <t>3. Observación A, E, I,O,U Usuarios.</t>
        </is>
      </c>
      <c r="H4" t="n">
        <v>3</v>
      </c>
      <c r="I4">
        <f>MAX(J4:AK4)</f>
        <v/>
      </c>
      <c r="J4" t="n">
        <v>0</v>
      </c>
      <c r="K4" t="n">
        <v>0.6</v>
      </c>
      <c r="L4" t="n">
        <v>1.2</v>
      </c>
      <c r="M4" t="n">
        <v>1.6</v>
      </c>
      <c r="N4" t="n">
        <v>2</v>
      </c>
    </row>
    <row r="5">
      <c r="A5" s="37" t="n">
        <v>4</v>
      </c>
      <c r="B5" s="2" t="inlineStr">
        <is>
          <t>AD</t>
        </is>
      </c>
      <c r="C5" s="2" t="inlineStr">
        <is>
          <t>Alto dominio</t>
        </is>
      </c>
      <c r="D5" s="2" t="n">
        <v>3.2</v>
      </c>
      <c r="F5" t="n">
        <v>4</v>
      </c>
      <c r="G5" t="inlineStr">
        <is>
          <t>4. Reflexión.</t>
        </is>
      </c>
      <c r="H5" t="n">
        <v>4</v>
      </c>
      <c r="I5">
        <f>MAX(J5:AK5)</f>
        <v/>
      </c>
      <c r="J5" t="n">
        <v>0</v>
      </c>
      <c r="K5" t="n">
        <v>0.6</v>
      </c>
      <c r="L5" t="n">
        <v>1.2</v>
      </c>
      <c r="M5" t="n">
        <v>1.6</v>
      </c>
      <c r="N5" t="n">
        <v>2</v>
      </c>
    </row>
    <row r="6">
      <c r="A6" s="37" t="n">
        <v>5</v>
      </c>
      <c r="B6" s="2" t="inlineStr">
        <is>
          <t>ED</t>
        </is>
      </c>
      <c r="C6" s="2" t="inlineStr">
        <is>
          <t>Excelente dominio</t>
        </is>
      </c>
      <c r="D6" s="2" t="n">
        <v>4</v>
      </c>
      <c r="F6" t="n">
        <v>5</v>
      </c>
      <c r="G6" t="inlineStr">
        <is>
          <t>5. Definición del Problema.</t>
        </is>
      </c>
      <c r="H6" t="n">
        <v>5</v>
      </c>
      <c r="I6">
        <f>MAX(J6:AK6)</f>
        <v/>
      </c>
      <c r="J6" t="n">
        <v>0</v>
      </c>
      <c r="K6" t="n">
        <v>1.2</v>
      </c>
      <c r="L6" t="n">
        <v>2.4</v>
      </c>
      <c r="M6" t="n">
        <v>3.2</v>
      </c>
      <c r="N6" t="n">
        <v>4</v>
      </c>
    </row>
    <row r="7">
      <c r="A7" s="37" t="n"/>
      <c r="B7" s="2" t="n"/>
      <c r="C7" s="2" t="n"/>
      <c r="D7" s="2" t="n">
        <v>0</v>
      </c>
      <c r="F7" t="n">
        <v>6</v>
      </c>
      <c r="G7" t="inlineStr">
        <is>
          <t>6. Solución Creativa</t>
        </is>
      </c>
      <c r="H7" t="n">
        <v>6</v>
      </c>
      <c r="I7">
        <f>MAX(J7:AK7)</f>
        <v/>
      </c>
      <c r="J7" t="n">
        <v>0</v>
      </c>
      <c r="K7" t="n">
        <v>1.2</v>
      </c>
      <c r="L7" t="n">
        <v>2.4</v>
      </c>
      <c r="M7" t="n">
        <v>3.2</v>
      </c>
      <c r="N7" t="n">
        <v>4</v>
      </c>
    </row>
    <row r="8">
      <c r="A8" s="37" t="n"/>
      <c r="B8" s="2" t="n"/>
      <c r="C8" s="2" t="n"/>
      <c r="D8" s="2" t="n">
        <v>0</v>
      </c>
      <c r="F8" t="n">
        <v>7</v>
      </c>
      <c r="G8" t="inlineStr">
        <is>
          <t>7. Bitácora</t>
        </is>
      </c>
      <c r="H8" t="n">
        <v>7</v>
      </c>
      <c r="I8">
        <f>MAX(J8:AK8)</f>
        <v/>
      </c>
      <c r="J8" t="n">
        <v>0</v>
      </c>
      <c r="K8" t="n">
        <v>1.2</v>
      </c>
      <c r="L8" t="n">
        <v>2.4</v>
      </c>
      <c r="M8" t="n">
        <v>3.2</v>
      </c>
      <c r="N8" t="n">
        <v>4</v>
      </c>
    </row>
    <row r="9">
      <c r="A9" s="37" t="n"/>
      <c r="B9" s="2" t="n"/>
      <c r="C9" s="2" t="n"/>
      <c r="D9" s="2" t="n">
        <v>0</v>
      </c>
      <c r="F9" t="n">
        <v>8</v>
      </c>
      <c r="G9" t="inlineStr">
        <is>
          <t>8. Quiz de desempeño Individual</t>
        </is>
      </c>
      <c r="H9" t="n">
        <v>8</v>
      </c>
      <c r="I9">
        <f>MAX(J9:AK9)</f>
        <v/>
      </c>
      <c r="J9" t="n">
        <v>0</v>
      </c>
      <c r="K9" t="n">
        <v>1</v>
      </c>
      <c r="L9" t="n">
        <v>2</v>
      </c>
      <c r="M9" t="n">
        <v>3</v>
      </c>
      <c r="N9" t="n">
        <v>4</v>
      </c>
      <c r="O9" t="n">
        <v>5</v>
      </c>
      <c r="P9" t="n">
        <v>6</v>
      </c>
      <c r="Q9" t="n">
        <v>7</v>
      </c>
      <c r="R9" t="n">
        <v>8</v>
      </c>
      <c r="S9" t="n">
        <v>9</v>
      </c>
      <c r="T9" t="n">
        <v>10</v>
      </c>
      <c r="U9" t="n">
        <v>11</v>
      </c>
      <c r="V9" t="n">
        <v>12</v>
      </c>
      <c r="W9" t="n">
        <v>13</v>
      </c>
      <c r="X9" t="n">
        <v>14</v>
      </c>
      <c r="Y9" t="n">
        <v>15</v>
      </c>
      <c r="Z9" t="n">
        <v>16</v>
      </c>
      <c r="AA9" t="n">
        <v>17</v>
      </c>
      <c r="AB9" t="n">
        <v>18</v>
      </c>
      <c r="AC9" t="n">
        <v>19</v>
      </c>
      <c r="AD9" t="n">
        <v>20</v>
      </c>
      <c r="AE9" t="n">
        <v>21</v>
      </c>
      <c r="AF9" t="n">
        <v>22</v>
      </c>
      <c r="AG9" t="n">
        <v>23</v>
      </c>
      <c r="AH9" t="n">
        <v>24</v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>
        <f>IF(COUNTIF($J2:K2,K2)&gt;1,"",IF(K2&lt;&gt;"",$A$3,""))</f>
        <v/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>
        <f>IF(COUNTIF($J3:K3,K3)&gt;1,"",IF(K3&lt;&gt;"",$A$3,""))</f>
        <v/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>
        <f>IF(COUNTIF($J4:K4,K4)&gt;1,"",IF(K4&lt;&gt;"",$A$3,""))</f>
        <v/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>
        <f>IF(COUNTIF($J5:K5,K5)&gt;1,"",IF(K5&lt;&gt;"",$A$3,""))</f>
        <v/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0">
      <formula>""</formula>
    </cfRule>
  </conditionalFormatting>
  <conditionalFormatting sqref="D2:D13">
    <cfRule type="cellIs" priority="1" operator="notEqual" dxfId="0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2024-05-03T16:43:33Z</dcterms:modified>
  <cp:lastModifiedBy>Leandro Gutierrez A.</cp:lastModifiedBy>
  <cp:lastPrinted>2012-11-30T22:55:58Z</cp:lastPrinted>
</cp:coreProperties>
</file>