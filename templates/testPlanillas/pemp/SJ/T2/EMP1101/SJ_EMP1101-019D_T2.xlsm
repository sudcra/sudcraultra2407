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D87F" lockStructure="1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1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5" formatCode="&quot;ED&quot;"/>
    </dxf>
    <dxf>
      <numFmt numFmtId="166" formatCode="&quot;AD&quot;"/>
    </dxf>
    <dxf>
      <numFmt numFmtId="167" formatCode="&quot;DA&quot;"/>
    </dxf>
    <dxf>
      <numFmt numFmtId="168" formatCode="&quot;DP&quot;"/>
    </dxf>
    <dxf>
      <numFmt numFmtId="169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12"/>
    <col hidden="1" width="7" customWidth="1" min="13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24114627</v>
      </c>
      <c r="D1" s="4" t="n"/>
      <c r="DU1" s="3" t="inlineStr">
        <is>
          <t>MENTALIDAD EMPRENDEDORA</t>
        </is>
      </c>
      <c r="DV1" s="3" t="inlineStr">
        <is>
          <t>Evaluación Experiencia de Aprendizaje Número 1</t>
        </is>
      </c>
      <c r="DW1" t="inlineStr">
        <is>
          <t>Evaluación Experiencia de Aprendizaje Número 1</t>
        </is>
      </c>
      <c r="DX1" s="39" t="inlineStr">
        <is>
          <t>EMP1101</t>
        </is>
      </c>
      <c r="DY1" s="39" t="n">
        <v>1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ARREDONDO PENALOZA OCTAVIO IGNACIO</t>
        </is>
      </c>
      <c r="C10" s="14" t="inlineStr">
        <is>
          <t>215139255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L10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AYALA LEYTON ALVARA</t>
        </is>
      </c>
      <c r="C11" s="18" t="inlineStr">
        <is>
          <t>106077614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L11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BELLORIN MELENDEZ SARAI</t>
        </is>
      </c>
      <c r="C12" s="14" t="inlineStr">
        <is>
          <t>245423543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L12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IBACACHE VALERIA INES</t>
        </is>
      </c>
      <c r="C13" s="18" t="inlineStr">
        <is>
          <t>20239647K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L13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CADENA CUBILLOS IRMA SOLEDAD</t>
        </is>
      </c>
      <c r="C14" s="14" t="inlineStr">
        <is>
          <t>118758455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L14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CAMPOS SARMIENTO VALERY SCARLETTE</t>
        </is>
      </c>
      <c r="C15" s="14" t="inlineStr">
        <is>
          <t>204189730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L15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CAMPOS SARMIENTO RONALDO STEFAN</t>
        </is>
      </c>
      <c r="C16" s="18" t="inlineStr">
        <is>
          <t>218219144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L16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CARRIEL RODRIGUEZ MILLARAY</t>
        </is>
      </c>
      <c r="C17" s="14" t="inlineStr">
        <is>
          <t>20816547K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L17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CASTILLO VILLALBA ALONDRA CATALINA</t>
        </is>
      </c>
      <c r="C18" s="14" t="inlineStr">
        <is>
          <t>217659094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L18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CASTRO PILQUIMAN DANITZA NATALIA</t>
        </is>
      </c>
      <c r="C19" s="18" t="inlineStr">
        <is>
          <t>208126474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L19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CUELLAR QUINTERO SOFIA</t>
        </is>
      </c>
      <c r="C20" s="18" t="inlineStr">
        <is>
          <t>265380468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L20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CUMIAN PEREZ MILKA MARIA</t>
        </is>
      </c>
      <c r="C21" s="18" t="inlineStr">
        <is>
          <t>169249091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L21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MIRANDA CAMILA VALENTINA</t>
        </is>
      </c>
      <c r="C22" s="18" t="inlineStr">
        <is>
          <t>207919837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L22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DIAZ TOLOZA DIEGO EMILIO</t>
        </is>
      </c>
      <c r="C23" s="18" t="inlineStr">
        <is>
          <t>213556533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L23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FERRER VALDES VERONICA MARCELA</t>
        </is>
      </c>
      <c r="C24" s="18" t="inlineStr">
        <is>
          <t>201902061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L24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LEIVA MARTINEZ PATRICIA ANDREA</t>
        </is>
      </c>
      <c r="C25" s="18" t="inlineStr">
        <is>
          <t>170911091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L25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MALDONADO ABELLO CATALINA ANAIS</t>
        </is>
      </c>
      <c r="C26" s="18" t="inlineStr">
        <is>
          <t>214604892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L26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MEZA ISRAEL VICENTE</t>
        </is>
      </c>
      <c r="C27" s="18" t="inlineStr">
        <is>
          <t>211205369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L27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ORELLANA DIAZ NICOLAS IGNACIO</t>
        </is>
      </c>
      <c r="C28" s="18" t="inlineStr">
        <is>
          <t>205625399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L28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ORTEGA CHIGUAY CESAR ANTONIO ANDRES</t>
        </is>
      </c>
      <c r="C29" s="18" t="inlineStr">
        <is>
          <t>208236482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L29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ORTEGA TORRES VALENTINA ELIZABETH</t>
        </is>
      </c>
      <c r="C30" s="18" t="inlineStr">
        <is>
          <t>216288491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L30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PARRAGUEZ CORNEJO DAVID ANIBAL</t>
        </is>
      </c>
      <c r="C31" s="18" t="inlineStr">
        <is>
          <t>209831422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L31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PEREZ HUAIQUIO MILLARAY LILIANA</t>
        </is>
      </c>
      <c r="C32" s="18" t="inlineStr">
        <is>
          <t>20912548K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L32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PONCE JORQUERA SIMON IGNACIO</t>
        </is>
      </c>
      <c r="C33" s="18" t="inlineStr">
        <is>
          <t>205608826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L33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PORRAS VARGAS DEMISS CHRISTIAN</t>
        </is>
      </c>
      <c r="C34" s="18" t="inlineStr">
        <is>
          <t>217740045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L34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PUIG VEAS ALMENDRA BELEN</t>
        </is>
      </c>
      <c r="C35" s="18" t="inlineStr">
        <is>
          <t>215163296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L35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QUEZADA SAAVEDRA MILLARAY NATALIA</t>
        </is>
      </c>
      <c r="C36" s="18" t="inlineStr">
        <is>
          <t>208140353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L36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QUIJON TORRES ISIDORA CAROLINA</t>
        </is>
      </c>
      <c r="C37" s="18" t="inlineStr">
        <is>
          <t>214754525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L37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RODRIGUEZ PIZARRO LUCERO AURORA</t>
        </is>
      </c>
      <c r="C38" s="18" t="inlineStr">
        <is>
          <t>225027315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L38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ROJAS DIAZ ANTONELLA CONSTANZA</t>
        </is>
      </c>
      <c r="C39" s="18" t="inlineStr">
        <is>
          <t>216446143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L39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ROMERO BASCUR ALMENDRA PAZ</t>
        </is>
      </c>
      <c r="C40" s="18" t="inlineStr">
        <is>
          <t>217198887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L40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SAEZ NAVARRETE ANAIS GABRIELA</t>
        </is>
      </c>
      <c r="C41" s="18" t="inlineStr">
        <is>
          <t>218218636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L41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SANHUEZA RAMOS JAVIERA ANDREA</t>
        </is>
      </c>
      <c r="C42" s="18" t="inlineStr">
        <is>
          <t>198814938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L42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SEGURA CATALAN MARCIA</t>
        </is>
      </c>
      <c r="C43" s="18" t="inlineStr">
        <is>
          <t>217778441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L43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ZUÑIGA FERNANDA PATRICIA</t>
        </is>
      </c>
      <c r="C44" s="18" t="inlineStr">
        <is>
          <t>211221100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L44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SUIL MORA DANIELA</t>
        </is>
      </c>
      <c r="C45" s="18" t="inlineStr">
        <is>
          <t>213205765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L45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TORRES CUBILLO DANIELA MARIET</t>
        </is>
      </c>
      <c r="C46" s="18" t="inlineStr">
        <is>
          <t>166490006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L46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VALENZUELA VALDES CONSTANZA PAULINA</t>
        </is>
      </c>
      <c r="C47" s="18" t="inlineStr">
        <is>
          <t>211294663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L47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VEGA MEZA MIRLA</t>
        </is>
      </c>
      <c r="C48" s="18" t="inlineStr">
        <is>
          <t>24019001K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L48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VERA PILQUIAN SOFIA</t>
        </is>
      </c>
      <c r="C49" s="18" t="inlineStr">
        <is>
          <t>210412867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L49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VERA RIFFO CATHERINE</t>
        </is>
      </c>
      <c r="C50" s="18" t="inlineStr">
        <is>
          <t>172801803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L50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YANEZ ASTUDILLO NOEMY</t>
        </is>
      </c>
      <c r="C51" s="18" t="inlineStr">
        <is>
          <t>215851176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L51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9">
      <formula>IF(MOD(F$8,2)=0,TRUE,FALSE)</formula>
    </cfRule>
  </conditionalFormatting>
  <conditionalFormatting sqref="E7 E9">
    <cfRule type="expression" priority="27" dxfId="9">
      <formula>IF(MOD(E$8,2)=0,TRUE,FALSE)</formula>
    </cfRule>
  </conditionalFormatting>
  <conditionalFormatting sqref="G7:BL7 G9:BL9">
    <cfRule type="expression" priority="26" dxfId="9">
      <formula>IF(MOD(G$8,2)=0,TRUE,FALSE)</formula>
    </cfRule>
  </conditionalFormatting>
  <conditionalFormatting sqref="E8:BL8">
    <cfRule type="expression" priority="25" dxfId="9">
      <formula>IF(MOD(E$8,2)=0,TRUE,FALSE)</formula>
    </cfRule>
  </conditionalFormatting>
  <conditionalFormatting sqref="E10:BL69">
    <cfRule type="expression" priority="8" dxfId="9">
      <formula>IF(MOD(E$8,2)=0,TRUE,FALSE)</formula>
    </cfRule>
  </conditionalFormatting>
  <conditionalFormatting sqref="E9:BL9">
    <cfRule type="cellIs" priority="7" operator="equal" dxfId="8">
      <formula>""</formula>
    </cfRule>
  </conditionalFormatting>
  <conditionalFormatting sqref="DV10:DV69">
    <cfRule type="cellIs" priority="6" operator="lessThan" dxfId="7">
      <formula>3.95</formula>
    </cfRule>
  </conditionalFormatting>
  <conditionalFormatting sqref="E10:K69">
    <cfRule type="cellIs" priority="5" operator="equal" dxfId="6">
      <formula>1</formula>
    </cfRule>
    <cfRule type="cellIs" priority="4" operator="equal" dxfId="5">
      <formula>2</formula>
    </cfRule>
    <cfRule type="cellIs" priority="3" operator="equal" dxfId="4">
      <formula>3</formula>
    </cfRule>
    <cfRule type="cellIs" priority="2" operator="equal" dxfId="3">
      <formula>4</formula>
    </cfRule>
    <cfRule type="cellIs" priority="1" operator="equal" dxfId="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AH121"/>
  <sheetViews>
    <sheetView showGridLines="0" workbookViewId="0">
      <selection activeCell="H11" sqref="H11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DL</t>
        </is>
      </c>
      <c r="C2" s="2" t="inlineStr">
        <is>
          <t>Dominio por lograr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Observación A,E,I,O,U Actividades y entornos.</t>
        </is>
      </c>
      <c r="H2" t="n">
        <v>1</v>
      </c>
      <c r="I2">
        <f>MAX(J2:AK2)</f>
        <v/>
      </c>
      <c r="J2" t="n">
        <v>0</v>
      </c>
      <c r="K2" t="n">
        <v>1.2</v>
      </c>
      <c r="L2" t="n">
        <v>2.4</v>
      </c>
      <c r="M2" t="n">
        <v>3.2</v>
      </c>
      <c r="N2" t="n">
        <v>4</v>
      </c>
    </row>
    <row r="3">
      <c r="A3" s="37" t="n">
        <v>2</v>
      </c>
      <c r="B3" s="2" t="inlineStr">
        <is>
          <t>DP</t>
        </is>
      </c>
      <c r="C3" s="2" t="inlineStr">
        <is>
          <t>Dominio en proceso</t>
        </is>
      </c>
      <c r="D3" s="2" t="n">
        <v>1.2</v>
      </c>
      <c r="E3" t="n">
        <v>0.6</v>
      </c>
      <c r="F3" t="n">
        <v>2</v>
      </c>
      <c r="G3" t="inlineStr">
        <is>
          <t>2.  Observación A,E,I,O,U Interacciones y Objetos.</t>
        </is>
      </c>
      <c r="H3" t="n">
        <v>2</v>
      </c>
      <c r="I3">
        <f>MAX(J3:AK3)</f>
        <v/>
      </c>
      <c r="J3" t="n">
        <v>0</v>
      </c>
      <c r="K3" t="n">
        <v>1.2</v>
      </c>
      <c r="L3" t="n">
        <v>2.4</v>
      </c>
      <c r="M3" t="n">
        <v>3.2</v>
      </c>
      <c r="N3" t="n">
        <v>4</v>
      </c>
    </row>
    <row r="4">
      <c r="A4" s="37" t="n">
        <v>3</v>
      </c>
      <c r="B4" s="2" t="inlineStr">
        <is>
          <t>DA</t>
        </is>
      </c>
      <c r="C4" s="2" t="inlineStr">
        <is>
          <t>Dominio aceptable</t>
        </is>
      </c>
      <c r="D4" s="2" t="n">
        <v>2.4</v>
      </c>
      <c r="F4" t="n">
        <v>3</v>
      </c>
      <c r="G4" t="inlineStr">
        <is>
          <t>3. Observación A, E, I,O,U Usuarios.</t>
        </is>
      </c>
      <c r="H4" t="n">
        <v>3</v>
      </c>
      <c r="I4">
        <f>MAX(J4:AK4)</f>
        <v/>
      </c>
      <c r="J4" t="n">
        <v>0</v>
      </c>
      <c r="K4" t="n">
        <v>0.6</v>
      </c>
      <c r="L4" t="n">
        <v>1.2</v>
      </c>
      <c r="M4" t="n">
        <v>1.6</v>
      </c>
      <c r="N4" t="n">
        <v>2</v>
      </c>
    </row>
    <row r="5">
      <c r="A5" s="37" t="n">
        <v>4</v>
      </c>
      <c r="B5" s="2" t="inlineStr">
        <is>
          <t>AD</t>
        </is>
      </c>
      <c r="C5" s="2" t="inlineStr">
        <is>
          <t>Alto dominio</t>
        </is>
      </c>
      <c r="D5" s="2" t="n">
        <v>3.2</v>
      </c>
      <c r="F5" t="n">
        <v>4</v>
      </c>
      <c r="G5" t="inlineStr">
        <is>
          <t>4. Reflexión.</t>
        </is>
      </c>
      <c r="H5" t="n">
        <v>4</v>
      </c>
      <c r="I5">
        <f>MAX(J5:AK5)</f>
        <v/>
      </c>
      <c r="J5" t="n">
        <v>0</v>
      </c>
      <c r="K5" t="n">
        <v>0.6</v>
      </c>
      <c r="L5" t="n">
        <v>1.2</v>
      </c>
      <c r="M5" t="n">
        <v>1.6</v>
      </c>
      <c r="N5" t="n">
        <v>2</v>
      </c>
    </row>
    <row r="6">
      <c r="A6" s="37" t="n">
        <v>5</v>
      </c>
      <c r="B6" s="2" t="inlineStr">
        <is>
          <t>ED</t>
        </is>
      </c>
      <c r="C6" s="2" t="inlineStr">
        <is>
          <t>Excelente dominio</t>
        </is>
      </c>
      <c r="D6" s="2" t="n">
        <v>4</v>
      </c>
      <c r="F6" t="n">
        <v>5</v>
      </c>
      <c r="G6" t="inlineStr">
        <is>
          <t>5. Definición del Problema.</t>
        </is>
      </c>
      <c r="H6" t="n">
        <v>5</v>
      </c>
      <c r="I6">
        <f>MAX(J6:AK6)</f>
        <v/>
      </c>
      <c r="J6" t="n">
        <v>0</v>
      </c>
      <c r="K6" t="n">
        <v>1.2</v>
      </c>
      <c r="L6" t="n">
        <v>2.4</v>
      </c>
      <c r="M6" t="n">
        <v>3.2</v>
      </c>
      <c r="N6" t="n">
        <v>4</v>
      </c>
    </row>
    <row r="7">
      <c r="A7" s="37" t="n"/>
      <c r="B7" s="2" t="n"/>
      <c r="C7" s="2" t="n"/>
      <c r="D7" s="2" t="n">
        <v>0</v>
      </c>
      <c r="F7" t="n">
        <v>6</v>
      </c>
      <c r="G7" t="inlineStr">
        <is>
          <t>6. Solución Creativa</t>
        </is>
      </c>
      <c r="H7" t="n">
        <v>6</v>
      </c>
      <c r="I7">
        <f>MAX(J7:AK7)</f>
        <v/>
      </c>
      <c r="J7" t="n">
        <v>0</v>
      </c>
      <c r="K7" t="n">
        <v>1.2</v>
      </c>
      <c r="L7" t="n">
        <v>2.4</v>
      </c>
      <c r="M7" t="n">
        <v>3.2</v>
      </c>
      <c r="N7" t="n">
        <v>4</v>
      </c>
    </row>
    <row r="8">
      <c r="A8" s="37" t="n"/>
      <c r="B8" s="2" t="n"/>
      <c r="C8" s="2" t="n"/>
      <c r="D8" s="2" t="n">
        <v>0</v>
      </c>
      <c r="F8" t="n">
        <v>7</v>
      </c>
      <c r="G8" t="inlineStr">
        <is>
          <t>7. Bitácora</t>
        </is>
      </c>
      <c r="H8" t="n">
        <v>7</v>
      </c>
      <c r="I8">
        <f>MAX(J8:AK8)</f>
        <v/>
      </c>
      <c r="J8" t="n">
        <v>0</v>
      </c>
      <c r="K8" t="n">
        <v>1.2</v>
      </c>
      <c r="L8" t="n">
        <v>2.4</v>
      </c>
      <c r="M8" t="n">
        <v>3.2</v>
      </c>
      <c r="N8" t="n">
        <v>4</v>
      </c>
    </row>
    <row r="9">
      <c r="A9" s="37" t="n"/>
      <c r="B9" s="2" t="n"/>
      <c r="C9" s="2" t="n"/>
      <c r="D9" s="2" t="n">
        <v>0</v>
      </c>
      <c r="F9" t="n">
        <v>8</v>
      </c>
      <c r="G9" t="inlineStr">
        <is>
          <t>8. Quiz de desempeño Individual</t>
        </is>
      </c>
      <c r="H9" t="n">
        <v>8</v>
      </c>
      <c r="I9">
        <f>MAX(J9:AK9)</f>
        <v/>
      </c>
      <c r="J9" t="n">
        <v>0</v>
      </c>
      <c r="K9" t="n">
        <v>1</v>
      </c>
      <c r="L9" t="n">
        <v>2</v>
      </c>
      <c r="M9" t="n">
        <v>3</v>
      </c>
      <c r="N9" t="n">
        <v>4</v>
      </c>
      <c r="O9" t="n">
        <v>5</v>
      </c>
      <c r="P9" t="n">
        <v>6</v>
      </c>
      <c r="Q9" t="n">
        <v>7</v>
      </c>
      <c r="R9" t="n">
        <v>8</v>
      </c>
      <c r="S9" t="n">
        <v>9</v>
      </c>
      <c r="T9" t="n">
        <v>10</v>
      </c>
      <c r="U9" t="n">
        <v>11</v>
      </c>
      <c r="V9" t="n">
        <v>12</v>
      </c>
      <c r="W9" t="n">
        <v>13</v>
      </c>
      <c r="X9" t="n">
        <v>14</v>
      </c>
      <c r="Y9" t="n">
        <v>15</v>
      </c>
      <c r="Z9" t="n">
        <v>16</v>
      </c>
      <c r="AA9" t="n">
        <v>17</v>
      </c>
      <c r="AB9" t="n">
        <v>18</v>
      </c>
      <c r="AC9" t="n">
        <v>19</v>
      </c>
      <c r="AD9" t="n">
        <v>20</v>
      </c>
      <c r="AE9" t="n">
        <v>21</v>
      </c>
      <c r="AF9" t="n">
        <v>22</v>
      </c>
      <c r="AG9" t="n">
        <v>23</v>
      </c>
      <c r="AH9" t="n">
        <v>24</v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>
        <f>IF(COUNTIF($J2:K2,K2)&gt;1,"",IF(K2&lt;&gt;"",$A$3,""))</f>
        <v/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>
        <f>IF(COUNTIF($J3:K3,K3)&gt;1,"",IF(K3&lt;&gt;"",$A$3,""))</f>
        <v/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>
        <f>IF(COUNTIF($J4:K4,K4)&gt;1,"",IF(K4&lt;&gt;"",$A$3,""))</f>
        <v/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>
        <f>IF(COUNTIF($J5:K5,K5)&gt;1,"",IF(K5&lt;&gt;"",$A$3,""))</f>
        <v/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0">
      <formula>""</formula>
    </cfRule>
  </conditionalFormatting>
  <conditionalFormatting sqref="D2:D13">
    <cfRule type="cellIs" priority="1" operator="notEqual" dxfId="0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2024-05-03T16:43:37Z</dcterms:modified>
  <cp:lastModifiedBy>Leandro Gutierrez A.</cp:lastModifiedBy>
  <cp:lastPrinted>2012-11-30T22:55:58Z</cp:lastPrinted>
</cp:coreProperties>
</file>