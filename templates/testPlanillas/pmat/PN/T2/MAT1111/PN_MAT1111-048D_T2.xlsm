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9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ALVARADO LOPEZ JHON ANDER</t>
        </is>
      </c>
      <c r="C10" s="14" t="inlineStr">
        <is>
          <t>281943022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ANANIAS LOPEZ LUIS FRANCISCO</t>
        </is>
      </c>
      <c r="C11" s="18" t="inlineStr">
        <is>
          <t>213002554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ARANCIBIA PALACIOS JORGE IGNACIO</t>
        </is>
      </c>
      <c r="C12" s="14" t="inlineStr">
        <is>
          <t>219375174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ARAYA ARRATIA JORDAN ALEXIS</t>
        </is>
      </c>
      <c r="C13" s="18" t="inlineStr">
        <is>
          <t>215839710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ASTORGA ABALLAY ALVARO MANUEL</t>
        </is>
      </c>
      <c r="C14" s="14" t="inlineStr">
        <is>
          <t>217160324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AUCANIR SANCHEZ BENJAMIN ANDRES</t>
        </is>
      </c>
      <c r="C15" s="14" t="inlineStr">
        <is>
          <t>216534212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AVALOS GOMEZ FRANKY AMARO</t>
        </is>
      </c>
      <c r="C16" s="18" t="inlineStr">
        <is>
          <t>217671264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BASTIAS BASTIAS DIEGO IGNACIO</t>
        </is>
      </c>
      <c r="C17" s="14" t="inlineStr">
        <is>
          <t>215982599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BIAVA CASTILLO AIRON CAMERON</t>
        </is>
      </c>
      <c r="C18" s="14" t="inlineStr">
        <is>
          <t>218840426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CANIUQUEO TREUQUIL CRISTIAN ALBERTO</t>
        </is>
      </c>
      <c r="C19" s="18" t="inlineStr">
        <is>
          <t>216311922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CASTILLO MIRANDA CRISTOBAL ELIAS</t>
        </is>
      </c>
      <c r="C20" s="18" t="inlineStr">
        <is>
          <t>216876385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CONTRERAS LAZO DARITZA MAGDALENA</t>
        </is>
      </c>
      <c r="C21" s="18" t="inlineStr">
        <is>
          <t>216314662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CORNEJO LEON JAVIER EMILIO</t>
        </is>
      </c>
      <c r="C22" s="18" t="inlineStr">
        <is>
          <t>220168034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CUITINO PIZARRO MANUEL ANTONIO</t>
        </is>
      </c>
      <c r="C23" s="18" t="inlineStr">
        <is>
          <t>219740964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FLORES GARCIA BRUNO ALONSO</t>
        </is>
      </c>
      <c r="C24" s="18" t="inlineStr">
        <is>
          <t>234421379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GALEAS YANEZ GERMAN ALEJANDRO</t>
        </is>
      </c>
      <c r="C25" s="18" t="inlineStr">
        <is>
          <t>218674437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GARRIDO GONZALEZ FELIPE JESUS</t>
        </is>
      </c>
      <c r="C26" s="18" t="inlineStr">
        <is>
          <t>218252060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GONZALEZ LOPEZ MILLARAY MARGARITA</t>
        </is>
      </c>
      <c r="C27" s="18" t="inlineStr">
        <is>
          <t>215770125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HIDALGO ROJAS IGNACIO ADOLFO ESTEBAN</t>
        </is>
      </c>
      <c r="C28" s="18" t="inlineStr">
        <is>
          <t>215572110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HIGUERA MUNOZ MAXIMILIANO MARCELO</t>
        </is>
      </c>
      <c r="C29" s="18" t="inlineStr">
        <is>
          <t>216500555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JARA FUENZALIDA EDGARDO NICOLAS</t>
        </is>
      </c>
      <c r="C30" s="18" t="inlineStr">
        <is>
          <t>219723725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MARTINEZ IBARRA YOJAM ANDRES</t>
        </is>
      </c>
      <c r="C31" s="18" t="inlineStr">
        <is>
          <t>217925592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MOLINA HERNANDEZ BENJAMIN IGNACIO</t>
        </is>
      </c>
      <c r="C32" s="18" t="inlineStr">
        <is>
          <t>216678338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MORA GUZMAN ISRAEL BENJAMIN</t>
        </is>
      </c>
      <c r="C33" s="18" t="inlineStr">
        <is>
          <t>218803172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MORALES CASTRO FABIANA ANTONIA</t>
        </is>
      </c>
      <c r="C34" s="18" t="inlineStr">
        <is>
          <t>215397807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MORALES VELASQUEZ RONALD DEMIS</t>
        </is>
      </c>
      <c r="C35" s="18" t="inlineStr">
        <is>
          <t>218283225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MORENO PINA GONZALO NICOLAS</t>
        </is>
      </c>
      <c r="C36" s="18" t="inlineStr">
        <is>
          <t>217923603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OLIVA CARDOZA JOSHUA RAUL</t>
        </is>
      </c>
      <c r="C37" s="18" t="inlineStr">
        <is>
          <t>215562182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ORELLANA ORELLANA BENJAMIN ARTURO</t>
        </is>
      </c>
      <c r="C38" s="18" t="inlineStr">
        <is>
          <t>217869668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RAMIREZ SOTO BRANDON VICENTE</t>
        </is>
      </c>
      <c r="C39" s="18" t="inlineStr">
        <is>
          <t>218732550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REBOLLEDO TAGLE BENJAMIN ALONSO</t>
        </is>
      </c>
      <c r="C40" s="18" t="inlineStr">
        <is>
          <t>215503690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RIQUELME JEREZ SALOME ISABEL</t>
        </is>
      </c>
      <c r="C41" s="18" t="inlineStr">
        <is>
          <t>217109779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RIVAS INYELCO ANGEL ALFONSO</t>
        </is>
      </c>
      <c r="C42" s="18" t="inlineStr">
        <is>
          <t>219092040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ROJO RODRIGUEZ IGNACIO ANDRES</t>
        </is>
      </c>
      <c r="C43" s="18" t="inlineStr">
        <is>
          <t>211396377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SALINAS OLIVARES YEFERSON MATIAS</t>
        </is>
      </c>
      <c r="C44" s="18" t="inlineStr">
        <is>
          <t>210494103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SEGURA PARRAGUEZ JORGE ABRAHAM</t>
        </is>
      </c>
      <c r="C45" s="18" t="inlineStr">
        <is>
          <t>220710122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TRAILLANCA SARAVIA JAVIERA IGNACIA</t>
        </is>
      </c>
      <c r="C46" s="18" t="inlineStr">
        <is>
          <t>218899471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VARGAS VARGAS PEDROPABLO MARIANO</t>
        </is>
      </c>
      <c r="C47" s="18" t="inlineStr">
        <is>
          <t>218586147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VERA GARRIDO MATIAS FELIPE</t>
        </is>
      </c>
      <c r="C48" s="18" t="inlineStr">
        <is>
          <t>205915842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>
      <c r="A49" s="17" t="n">
        <v>40</v>
      </c>
      <c r="B49" s="18" t="inlineStr">
        <is>
          <t>ZAMORANO DEL CANTO MARTIN NICOLAS</t>
        </is>
      </c>
      <c r="C49" s="18" t="inlineStr">
        <is>
          <t>216908953</t>
        </is>
      </c>
      <c r="D49" s="1" t="n"/>
      <c r="E49" s="28" t="n"/>
      <c r="F49" s="19" t="n"/>
      <c r="G49" s="19" t="n"/>
      <c r="H49" s="19" t="n"/>
      <c r="I49" s="19" t="n"/>
      <c r="J49" s="19" t="n"/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  <c r="X49" s="19" t="n"/>
      <c r="Y49" s="19" t="n"/>
      <c r="Z49" s="19" t="n"/>
      <c r="AA49" s="19" t="n"/>
      <c r="AB49" s="19" t="n"/>
      <c r="AC49" s="19" t="n"/>
      <c r="AD49" s="19" t="n"/>
      <c r="AE49" s="19" t="n"/>
      <c r="AF49" s="19" t="n"/>
      <c r="AG49" s="19" t="n"/>
      <c r="AH49" s="19" t="n"/>
      <c r="AI49" s="19" t="n"/>
      <c r="AJ49" s="19" t="n"/>
      <c r="AK49" s="19" t="n"/>
      <c r="AL49" s="19" t="n"/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29" t="n"/>
      <c r="BM49">
        <f>IFERROR(VLOOKUP(BM$6,Hoja1!$F$2:$XFD$61,E49+4,FALSE),0)</f>
        <v/>
      </c>
      <c r="BN49">
        <f>IFERROR(VLOOKUP(BN$6,Hoja1!$F$2:$XFD$61,F49+4,FALSE),0)</f>
        <v/>
      </c>
      <c r="BO49">
        <f>IFERROR(VLOOKUP(BO$6,Hoja1!$F$2:$XFD$61,G49+4,FALSE),0)</f>
        <v/>
      </c>
      <c r="BP49">
        <f>IFERROR(VLOOKUP(BP$6,Hoja1!$F$2:$XFD$61,H49+4,FALSE),0)</f>
        <v/>
      </c>
      <c r="BQ49">
        <f>IFERROR(VLOOKUP(BQ$6,Hoja1!$F$2:$XFD$61,I49+4,FALSE),0)</f>
        <v/>
      </c>
      <c r="BR49">
        <f>IFERROR(VLOOKUP(BR$6,Hoja1!$F$2:$XFD$61,J49+4,FALSE),0)</f>
        <v/>
      </c>
      <c r="BS49">
        <f>IFERROR(VLOOKUP(BS$6,Hoja1!$F$2:$XFD$61,K49+4,FALSE),0)</f>
        <v/>
      </c>
      <c r="BT49">
        <f>IFERROR(VLOOKUP(BT$6,Hoja1!$F$2:$XFD$61,L49+4,FALSE),0)</f>
        <v/>
      </c>
      <c r="BU49">
        <f>IFERROR(VLOOKUP(BU$6,Hoja1!$F$2:$XFD$61,M49+4,FALSE),0)</f>
        <v/>
      </c>
      <c r="BV49">
        <f>IFERROR(VLOOKUP(BV$6,Hoja1!$F$2:$XFD$61,N49+4,FALSE),0)</f>
        <v/>
      </c>
      <c r="BW49">
        <f>IFERROR(VLOOKUP(BW$6,Hoja1!$F$2:$XFD$61,O49+4,FALSE),0)</f>
        <v/>
      </c>
      <c r="BX49">
        <f>IFERROR(VLOOKUP(BX$6,Hoja1!$F$2:$XFD$61,P49+4,FALSE),0)</f>
        <v/>
      </c>
      <c r="BY49">
        <f>IFERROR(VLOOKUP(BY$6,Hoja1!$F$2:$XFD$61,Q49+4,FALSE),0)</f>
        <v/>
      </c>
      <c r="BZ49">
        <f>IFERROR(VLOOKUP(BZ$6,Hoja1!$F$2:$XFD$61,R49+4,FALSE),0)</f>
        <v/>
      </c>
      <c r="CA49">
        <f>IFERROR(VLOOKUP(CA$6,Hoja1!$F$2:$XFD$61,S49+4,FALSE),0)</f>
        <v/>
      </c>
      <c r="CB49">
        <f>IFERROR(VLOOKUP(CB$6,Hoja1!$F$2:$XFD$61,T49+4,FALSE),0)</f>
        <v/>
      </c>
      <c r="CC49">
        <f>IFERROR(VLOOKUP(CC$6,Hoja1!$F$2:$XFD$61,U49+4,FALSE),0)</f>
        <v/>
      </c>
      <c r="CD49">
        <f>IFERROR(VLOOKUP(CD$6,Hoja1!$F$2:$XFD$61,V49+4,FALSE),0)</f>
        <v/>
      </c>
      <c r="CE49">
        <f>IFERROR(VLOOKUP(CE$6,Hoja1!$F$2:$XFD$61,W49+4,FALSE),0)</f>
        <v/>
      </c>
      <c r="CF49">
        <f>IFERROR(VLOOKUP(CF$6,Hoja1!$F$2:$XFD$61,X49+4,FALSE),0)</f>
        <v/>
      </c>
      <c r="CG49">
        <f>IFERROR(VLOOKUP(CG$6,Hoja1!$F$2:$XFD$61,Y49+4,FALSE),0)</f>
        <v/>
      </c>
      <c r="CH49">
        <f>IFERROR(VLOOKUP(CH$6,Hoja1!$F$2:$XFD$61,Z49+4,FALSE),0)</f>
        <v/>
      </c>
      <c r="CI49">
        <f>IFERROR(VLOOKUP(CI$6,Hoja1!$F$2:$XFD$61,AA49+4,FALSE),0)</f>
        <v/>
      </c>
      <c r="CJ49">
        <f>IFERROR(VLOOKUP(CJ$6,Hoja1!$F$2:$XFD$61,AB49+4,FALSE),0)</f>
        <v/>
      </c>
      <c r="CK49">
        <f>IFERROR(VLOOKUP(CK$6,Hoja1!$F$2:$XFD$61,AC49+4,FALSE),0)</f>
        <v/>
      </c>
      <c r="CL49">
        <f>IFERROR(VLOOKUP(CL$6,Hoja1!$F$2:$XFD$61,AD49+4,FALSE),0)</f>
        <v/>
      </c>
      <c r="CM49">
        <f>IFERROR(VLOOKUP(CM$6,Hoja1!$F$2:$XFD$61,AE49+4,FALSE),0)</f>
        <v/>
      </c>
      <c r="CN49">
        <f>IFERROR(VLOOKUP(CN$6,Hoja1!$F$2:$XFD$61,AF49+4,FALSE),0)</f>
        <v/>
      </c>
      <c r="CO49">
        <f>IFERROR(VLOOKUP(CO$6,Hoja1!$F$2:$XFD$61,AG49+4,FALSE),0)</f>
        <v/>
      </c>
      <c r="CP49">
        <f>IFERROR(VLOOKUP(CP$6,Hoja1!$F$2:$XFD$61,AH49+4,FALSE),0)</f>
        <v/>
      </c>
      <c r="CQ49">
        <f>IFERROR(VLOOKUP(CQ$6,Hoja1!$F$2:$XFD$61,AI49+4,FALSE),0)</f>
        <v/>
      </c>
      <c r="CR49">
        <f>IFERROR(VLOOKUP(CR$6,Hoja1!$F$2:$XFD$61,AJ49+4,FALSE),0)</f>
        <v/>
      </c>
      <c r="CS49">
        <f>IFERROR(VLOOKUP(CS$6,Hoja1!$F$2:$XFD$61,AK49+4,FALSE),0)</f>
        <v/>
      </c>
      <c r="CT49">
        <f>IFERROR(VLOOKUP(CT$6,Hoja1!$F$2:$XFD$61,AL49+4,FALSE),0)</f>
        <v/>
      </c>
      <c r="CU49">
        <f>IFERROR(VLOOKUP(CU$6,Hoja1!$F$2:$XFD$61,AM49+4,FALSE),0)</f>
        <v/>
      </c>
      <c r="CV49">
        <f>IFERROR(VLOOKUP(CV$6,Hoja1!$F$2:$XFD$61,AN49+4,FALSE),0)</f>
        <v/>
      </c>
      <c r="CW49">
        <f>IFERROR(VLOOKUP(CW$6,Hoja1!$F$2:$XFD$61,AO49+4,FALSE),0)</f>
        <v/>
      </c>
      <c r="CX49">
        <f>IFERROR(VLOOKUP(CX$6,Hoja1!$F$2:$XFD$61,AP49+4,FALSE),0)</f>
        <v/>
      </c>
      <c r="CY49">
        <f>IFERROR(VLOOKUP(CY$6,Hoja1!$F$2:$XFD$61,AQ49+4,FALSE),0)</f>
        <v/>
      </c>
      <c r="CZ49">
        <f>IFERROR(VLOOKUP(CZ$6,Hoja1!$F$2:$XFD$61,AR49+4,FALSE),0)</f>
        <v/>
      </c>
      <c r="DA49">
        <f>IFERROR(VLOOKUP(DA$6,Hoja1!$F$2:$XFD$61,AS49+4,FALSE),0)</f>
        <v/>
      </c>
      <c r="DB49">
        <f>IFERROR(VLOOKUP(DB$6,Hoja1!$F$2:$XFD$61,AT49+4,FALSE),0)</f>
        <v/>
      </c>
      <c r="DC49">
        <f>IFERROR(VLOOKUP(DC$6,Hoja1!$F$2:$XFD$61,AU49+4,FALSE),0)</f>
        <v/>
      </c>
      <c r="DD49">
        <f>IFERROR(VLOOKUP(DD$6,Hoja1!$F$2:$XFD$61,AV49+4,FALSE),0)</f>
        <v/>
      </c>
      <c r="DE49">
        <f>IFERROR(VLOOKUP(DE$6,Hoja1!$F$2:$XFD$61,AW49+4,FALSE),0)</f>
        <v/>
      </c>
      <c r="DF49">
        <f>IFERROR(VLOOKUP(DF$6,Hoja1!$F$2:$XFD$61,AX49+4,FALSE),0)</f>
        <v/>
      </c>
      <c r="DG49">
        <f>IFERROR(VLOOKUP(DG$6,Hoja1!$F$2:$XFD$61,AY49+4,FALSE),0)</f>
        <v/>
      </c>
      <c r="DH49">
        <f>IFERROR(VLOOKUP(DH$6,Hoja1!$F$2:$XFD$61,AZ49+4,FALSE),0)</f>
        <v/>
      </c>
      <c r="DI49">
        <f>IFERROR(VLOOKUP(DI$6,Hoja1!$F$2:$XFD$61,BA49+4,FALSE),0)</f>
        <v/>
      </c>
      <c r="DJ49">
        <f>IFERROR(VLOOKUP(DJ$6,Hoja1!$F$2:$XFD$61,BB49+4,FALSE),0)</f>
        <v/>
      </c>
      <c r="DK49">
        <f>IFERROR(VLOOKUP(DK$6,Hoja1!$F$2:$XFD$61,BC49+4,FALSE),0)</f>
        <v/>
      </c>
      <c r="DL49">
        <f>IFERROR(VLOOKUP(DL$6,Hoja1!$F$2:$XFD$61,BD49+4,FALSE),0)</f>
        <v/>
      </c>
      <c r="DM49">
        <f>IFERROR(VLOOKUP(DM$6,Hoja1!$F$2:$XFD$61,BE49+4,FALSE),0)</f>
        <v/>
      </c>
      <c r="DN49">
        <f>IFERROR(VLOOKUP(DN$6,Hoja1!$F$2:$XFD$61,BF49+4,FALSE),0)</f>
        <v/>
      </c>
      <c r="DO49">
        <f>IFERROR(VLOOKUP(DO$6,Hoja1!$F$2:$XFD$61,BG49+4,FALSE),0)</f>
        <v/>
      </c>
      <c r="DP49">
        <f>IFERROR(VLOOKUP(DP$6,Hoja1!$F$2:$XFD$61,BH49+4,FALSE),0)</f>
        <v/>
      </c>
      <c r="DQ49">
        <f>IFERROR(VLOOKUP(DQ$6,Hoja1!$F$2:$XFD$61,BI49+4,FALSE),0)</f>
        <v/>
      </c>
      <c r="DR49">
        <f>IFERROR(VLOOKUP(DR$6,Hoja1!$F$2:$XFD$61,BJ49+4,FALSE),0)</f>
        <v/>
      </c>
      <c r="DS49">
        <f>IFERROR(VLOOKUP(DS$6,Hoja1!$F$2:$XFD$61,BK49+4,FALSE),0)</f>
        <v/>
      </c>
      <c r="DT49">
        <f>IFERROR(VLOOKUP(DT$6,Hoja1!$F$2:$XFD$61,BL49+4,FALSE),0)</f>
        <v/>
      </c>
      <c r="DU49" s="15">
        <f>IF(COUNT(E49:BL49)=$DV$7,IF(D49="","indique grupo",SUM(BM49:DT49)),"")</f>
        <v/>
      </c>
      <c r="DV49" s="16">
        <f>IF(D49&lt;&gt;"",IF(DU49="","",IF(DU49&gt;=$DU$7*Hoja1!$E$2,4+3/($DU$7*(1-Hoja1!$E$2))*(DU49-$DU$7*Hoja1!$E$2),1+3/($DU$7*Hoja1!$E$2)*DU49)),DU49)</f>
        <v/>
      </c>
      <c r="DW49" s="47" t="b">
        <v>0</v>
      </c>
    </row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2024-05-03T14:02:11Z</dcterms:modified>
  <cp:lastModifiedBy>Leandro Gutierrez A.</cp:lastModifiedBy>
  <cp:lastPrinted>2012-11-30T22:55:58Z</cp:lastPrinted>
</cp:coreProperties>
</file>