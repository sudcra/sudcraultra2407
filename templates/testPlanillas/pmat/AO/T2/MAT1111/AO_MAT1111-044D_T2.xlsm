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ms-office.vbaProject"/>
  <Default Extension="emf" ContentType="image/x-emf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38"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74" formatCode="&quot;MB&quot;"/>
    </dxf>
    <dxf>
      <numFmt numFmtId="173" formatCode="&quot;B&quot;"/>
    </dxf>
    <dxf>
      <numFmt numFmtId="172" formatCode="&quot;M&quot;"/>
    </dxf>
    <dxf>
      <numFmt numFmtId="171" formatCode="&quot;NL&quot;"/>
    </dxf>
    <dxf>
      <numFmt numFmtId="170" formatCode="&quot;EB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numFmt numFmtId="169" formatCode="&quot;ED&quot;"/>
    </dxf>
    <dxf>
      <numFmt numFmtId="165" formatCode="&quot;AD&quot;"/>
    </dxf>
    <dxf>
      <numFmt numFmtId="166" formatCode="&quot;DA&quot;"/>
    </dxf>
    <dxf>
      <numFmt numFmtId="167" formatCode="&quot;DP&quot;"/>
    </dxf>
    <dxf>
      <numFmt numFmtId="168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8"/>
    <col hidden="1" width="7" customWidth="1" min="9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24118322</v>
      </c>
      <c r="D1" s="4" t="n"/>
      <c r="DU1" s="3" t="inlineStr">
        <is>
          <t>NIVELACIÓN MATEMÁTICA</t>
        </is>
      </c>
      <c r="DV1" s="3" t="inlineStr">
        <is>
          <t>Taller n°2</t>
        </is>
      </c>
      <c r="DW1" t="inlineStr">
        <is>
          <t>Taller n°2</t>
        </is>
      </c>
      <c r="DX1" s="39" t="n">
        <v>3</v>
      </c>
      <c r="DY1" s="39" t="n">
        <v>6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AGUIRRE HONORES MAYKOL PATRIX JEREMY</t>
        </is>
      </c>
      <c r="C10" s="14" t="inlineStr">
        <is>
          <t>214484617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IFERROR(VLOOKUP(BT$6,Hoja1!$F$2:$XFD$61,L10+4,FALSE),0)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ANDRADES DONOSO LUKAS MATEO</t>
        </is>
      </c>
      <c r="C11" s="18" t="inlineStr">
        <is>
          <t>219115571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IFERROR(VLOOKUP(BT$6,Hoja1!$F$2:$XFD$61,L11+4,FALSE),0)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ARIAS FERNANDEZ VALENTINA SCARLETH</t>
        </is>
      </c>
      <c r="C12" s="14" t="inlineStr">
        <is>
          <t>210547053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IFERROR(VLOOKUP(BT$6,Hoja1!$F$2:$XFD$61,L12+4,FALSE),0)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BERRIOS CACERES MELISA BELEN</t>
        </is>
      </c>
      <c r="C13" s="18" t="inlineStr">
        <is>
          <t>214448610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IFERROR(VLOOKUP(BT$6,Hoja1!$F$2:$XFD$61,L13+4,FALSE),0)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BOBADILLA VASQUEZ KIMBERLY ALEXANDRA</t>
        </is>
      </c>
      <c r="C14" s="14" t="inlineStr">
        <is>
          <t>212652989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IFERROR(VLOOKUP(BT$6,Hoja1!$F$2:$XFD$61,L14+4,FALSE),0)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CORTES AHUMADA LUNA BELEN</t>
        </is>
      </c>
      <c r="C15" s="14" t="inlineStr">
        <is>
          <t>215516369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IFERROR(VLOOKUP(BT$6,Hoja1!$F$2:$XFD$61,L15+4,FALSE),0)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DONOSO URRA BENJAMIN ANDRES</t>
        </is>
      </c>
      <c r="C16" s="18" t="inlineStr">
        <is>
          <t>219757514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IFERROR(VLOOKUP(BT$6,Hoja1!$F$2:$XFD$61,L16+4,FALSE),0)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ENRIQUEZ HAYES JOSE DOMINGO</t>
        </is>
      </c>
      <c r="C17" s="14" t="inlineStr">
        <is>
          <t>211821191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IFERROR(VLOOKUP(BT$6,Hoja1!$F$2:$XFD$61,L17+4,FALSE),0)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ESQUERRE CABALLERO ANTHONY BRYAN</t>
        </is>
      </c>
      <c r="C18" s="14" t="inlineStr">
        <is>
          <t>247481745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IFERROR(VLOOKUP(BT$6,Hoja1!$F$2:$XFD$61,L18+4,FALSE),0)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FILIDEY LOPEZ JOSE IGNACIO</t>
        </is>
      </c>
      <c r="C19" s="18" t="inlineStr">
        <is>
          <t>211544147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IFERROR(VLOOKUP(BT$6,Hoja1!$F$2:$XFD$61,L19+4,FALSE),0)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GANGAS MUNOZ MAXIMILIANO</t>
        </is>
      </c>
      <c r="C20" s="18" t="inlineStr">
        <is>
          <t>214911906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IFERROR(VLOOKUP(BT$6,Hoja1!$F$2:$XFD$61,L20+4,FALSE),0)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GARCIA CUEVAS LUCIANO ANDRES</t>
        </is>
      </c>
      <c r="C21" s="18" t="inlineStr">
        <is>
          <t>220004759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IFERROR(VLOOKUP(BT$6,Hoja1!$F$2:$XFD$61,L21+4,FALSE),0)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GARRIDO PAEZ PABLO ANDRES</t>
        </is>
      </c>
      <c r="C22" s="18" t="inlineStr">
        <is>
          <t>220436578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IFERROR(VLOOKUP(BT$6,Hoja1!$F$2:$XFD$61,L22+4,FALSE),0)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GIRALDO RODRIGUEZ MICHAEL MAURICIO</t>
        </is>
      </c>
      <c r="C23" s="18" t="inlineStr">
        <is>
          <t>250327781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IFERROR(VLOOKUP(BT$6,Hoja1!$F$2:$XFD$61,L23+4,FALSE),0)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GODOY QUIROGA ARANTZA MONSERRATT</t>
        </is>
      </c>
      <c r="C24" s="18" t="inlineStr">
        <is>
          <t>21244510K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IFERROR(VLOOKUP(BT$6,Hoja1!$F$2:$XFD$61,L24+4,FALSE),0)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GONZALEZ ROJAS GABRIEL IGNACIO</t>
        </is>
      </c>
      <c r="C25" s="18" t="inlineStr">
        <is>
          <t>221377001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IFERROR(VLOOKUP(BT$6,Hoja1!$F$2:$XFD$61,L25+4,FALSE),0)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JIMENEZ VALDIVIA BENJAMIN IGNACIO</t>
        </is>
      </c>
      <c r="C26" s="18" t="inlineStr">
        <is>
          <t>221453255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IFERROR(VLOOKUP(BT$6,Hoja1!$F$2:$XFD$61,L26+4,FALSE),0)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LIZAMA GUZMAN ALEXIS JEREMIAS</t>
        </is>
      </c>
      <c r="C27" s="18" t="inlineStr">
        <is>
          <t>202795579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IFERROR(VLOOKUP(BT$6,Hoja1!$F$2:$XFD$61,L27+4,FALSE),0)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LOPEZ TOLEDO RENATO</t>
        </is>
      </c>
      <c r="C28" s="18" t="inlineStr">
        <is>
          <t>219115164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IFERROR(VLOOKUP(BT$6,Hoja1!$F$2:$XFD$61,L28+4,FALSE),0)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MEDINA YAUPE ANGELO ANDRES</t>
        </is>
      </c>
      <c r="C29" s="18" t="inlineStr">
        <is>
          <t>21256771K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IFERROR(VLOOKUP(BT$6,Hoja1!$F$2:$XFD$61,L29+4,FALSE),0)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MEZA FAUNDEZ NICOLAS ALEJANDRO</t>
        </is>
      </c>
      <c r="C30" s="18" t="inlineStr">
        <is>
          <t>199178261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IFERROR(VLOOKUP(BT$6,Hoja1!$F$2:$XFD$61,L30+4,FALSE),0)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MONTALVA MAHNCKE BRUNO ELIAS</t>
        </is>
      </c>
      <c r="C31" s="18" t="inlineStr">
        <is>
          <t>209990415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IFERROR(VLOOKUP(BT$6,Hoja1!$F$2:$XFD$61,L31+4,FALSE),0)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RODRIGUEZ MONTENEGRO DIEGO ISAAC ALBERTO</t>
        </is>
      </c>
      <c r="C32" s="18" t="inlineStr">
        <is>
          <t>211287004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IFERROR(VLOOKUP(BT$6,Hoja1!$F$2:$XFD$61,L32+4,FALSE),0)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ROMERO FUENTES CRISTIAN DANIEL</t>
        </is>
      </c>
      <c r="C33" s="18" t="inlineStr">
        <is>
          <t>20752641K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IFERROR(VLOOKUP(BT$6,Hoja1!$F$2:$XFD$61,L33+4,FALSE),0)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SALINAS HINOJOSA ANDRES SEBASTIAN</t>
        </is>
      </c>
      <c r="C34" s="18" t="inlineStr">
        <is>
          <t>220285022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IFERROR(VLOOKUP(BT$6,Hoja1!$F$2:$XFD$61,L34+4,FALSE),0)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TERAN VIERA SOFIA ALEJANDRA</t>
        </is>
      </c>
      <c r="C35" s="18" t="inlineStr">
        <is>
          <t>266727240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IFERROR(VLOOKUP(BT$6,Hoja1!$F$2:$XFD$61,L35+4,FALSE),0)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TRONCOSO MONTES PAULINA MILENA</t>
        </is>
      </c>
      <c r="C36" s="18" t="inlineStr">
        <is>
          <t>176006846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IFERROR(VLOOKUP(BT$6,Hoja1!$F$2:$XFD$61,L36+4,FALSE),0)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VALENCIA CARRASCO JULIAN IGNACIO</t>
        </is>
      </c>
      <c r="C37" s="18" t="inlineStr">
        <is>
          <t>221152271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IFERROR(VLOOKUP(BT$6,Hoja1!$F$2:$XFD$61,L37+4,FALSE),0)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VILLACORTA ZAVALETA GABRIEL ALONSO</t>
        </is>
      </c>
      <c r="C38" s="18" t="inlineStr">
        <is>
          <t>212913340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IFERROR(VLOOKUP(BT$6,Hoja1!$F$2:$XFD$61,L38+4,FALSE),0)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7">
      <formula>IF(MOD(F$8,2)=0,TRUE,FALSE)</formula>
    </cfRule>
  </conditionalFormatting>
  <conditionalFormatting sqref="E7 E9">
    <cfRule type="expression" priority="27" dxfId="7">
      <formula>IF(MOD(E$8,2)=0,TRUE,FALSE)</formula>
    </cfRule>
  </conditionalFormatting>
  <conditionalFormatting sqref="G7:BL7 G9:BL9">
    <cfRule type="expression" priority="26" dxfId="7">
      <formula>IF(MOD(G$8,2)=0,TRUE,FALSE)</formula>
    </cfRule>
  </conditionalFormatting>
  <conditionalFormatting sqref="E8:BL8">
    <cfRule type="expression" priority="25" dxfId="7">
      <formula>IF(MOD(E$8,2)=0,TRUE,FALSE)</formula>
    </cfRule>
  </conditionalFormatting>
  <conditionalFormatting sqref="E10:BL69">
    <cfRule type="expression" priority="8" dxfId="7">
      <formula>IF(MOD(E$8,2)=0,TRUE,FALSE)</formula>
    </cfRule>
  </conditionalFormatting>
  <conditionalFormatting sqref="E9:BL9">
    <cfRule type="cellIs" priority="7" operator="equal" dxfId="6">
      <formula>""</formula>
    </cfRule>
  </conditionalFormatting>
  <conditionalFormatting sqref="DV10:DV69">
    <cfRule type="cellIs" priority="6" operator="lessThan" dxfId="5">
      <formula>3.95</formula>
    </cfRule>
  </conditionalFormatting>
  <conditionalFormatting sqref="E10:H69">
    <cfRule type="cellIs" priority="5" operator="equal" dxfId="4">
      <formula>1</formula>
    </cfRule>
    <cfRule type="cellIs" priority="4" operator="equal" dxfId="15">
      <formula>2</formula>
    </cfRule>
    <cfRule type="cellIs" priority="3" operator="equal" dxfId="14">
      <formula>3</formula>
    </cfRule>
    <cfRule type="cellIs" priority="2" operator="equal" dxfId="13">
      <formula>4</formula>
    </cfRule>
    <cfRule type="cellIs" priority="1" operator="equal" dxfId="1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S121"/>
  <sheetViews>
    <sheetView showGridLines="0" topLeftCell="A44" workbookViewId="0">
      <selection activeCell="K60" sqref="K60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EB</t>
        </is>
      </c>
      <c r="C2" s="2" t="inlineStr">
        <is>
          <t>En blanco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 Compresnión del problema</t>
        </is>
      </c>
      <c r="H2" t="n">
        <v>1</v>
      </c>
      <c r="I2">
        <f>MAX(J2:AK2)</f>
        <v/>
      </c>
      <c r="J2" t="n">
        <v>0</v>
      </c>
      <c r="K2" t="n">
        <v>0</v>
      </c>
      <c r="L2" t="n">
        <v>13</v>
      </c>
      <c r="M2" t="n">
        <v>20</v>
      </c>
      <c r="N2" t="n">
        <v>25</v>
      </c>
    </row>
    <row r="3">
      <c r="A3" s="37" t="n">
        <v>2</v>
      </c>
      <c r="B3" s="2" t="inlineStr">
        <is>
          <t>NL</t>
        </is>
      </c>
      <c r="C3" s="2" t="inlineStr">
        <is>
          <t>No logrado</t>
        </is>
      </c>
      <c r="D3" s="2" t="n">
        <v>0</v>
      </c>
      <c r="E3" t="n">
        <v>0.6</v>
      </c>
      <c r="F3" t="n">
        <v>2</v>
      </c>
      <c r="G3" t="inlineStr">
        <is>
          <t>2. Obtención de la información</t>
        </is>
      </c>
      <c r="H3" t="n">
        <v>2</v>
      </c>
      <c r="I3">
        <f>MAX(J3:AK3)</f>
        <v/>
      </c>
      <c r="J3" t="n">
        <v>0</v>
      </c>
      <c r="K3" t="n">
        <v>0</v>
      </c>
      <c r="L3" t="n">
        <v>13</v>
      </c>
      <c r="M3" t="n">
        <v>20</v>
      </c>
      <c r="N3" t="n">
        <v>25</v>
      </c>
    </row>
    <row r="4">
      <c r="A4" s="37" t="n">
        <v>3</v>
      </c>
      <c r="B4" s="2" t="inlineStr">
        <is>
          <t>M</t>
        </is>
      </c>
      <c r="C4" s="2" t="inlineStr">
        <is>
          <t>Mejorable</t>
        </is>
      </c>
      <c r="D4" s="2" t="n">
        <v>13</v>
      </c>
      <c r="F4" t="n">
        <v>3</v>
      </c>
      <c r="G4" t="inlineStr">
        <is>
          <t>3. Uso de la matmeática</t>
        </is>
      </c>
      <c r="H4" t="n">
        <v>3</v>
      </c>
      <c r="I4">
        <f>MAX(J4:AK4)</f>
        <v/>
      </c>
      <c r="J4" t="n">
        <v>0</v>
      </c>
      <c r="K4" t="n">
        <v>0</v>
      </c>
      <c r="L4" t="n">
        <v>13</v>
      </c>
      <c r="M4" t="n">
        <v>20</v>
      </c>
      <c r="N4" t="n">
        <v>25</v>
      </c>
    </row>
    <row r="5">
      <c r="A5" s="37" t="n">
        <v>4</v>
      </c>
      <c r="B5" s="2" t="inlineStr">
        <is>
          <t>B</t>
        </is>
      </c>
      <c r="C5" s="2" t="inlineStr">
        <is>
          <t>Bueno</t>
        </is>
      </c>
      <c r="D5" s="2" t="n">
        <v>20</v>
      </c>
      <c r="F5" t="n">
        <v>4</v>
      </c>
      <c r="G5" t="inlineStr">
        <is>
          <t>4. Interpretación de los resultados</t>
        </is>
      </c>
      <c r="H5" t="n">
        <v>4</v>
      </c>
      <c r="I5">
        <f>MAX(J5:AK5)</f>
        <v/>
      </c>
      <c r="J5" t="n">
        <v>0</v>
      </c>
      <c r="K5" t="n">
        <v>0</v>
      </c>
      <c r="L5" t="n">
        <v>13</v>
      </c>
      <c r="M5" t="n">
        <v>20</v>
      </c>
      <c r="N5" t="n">
        <v>25</v>
      </c>
    </row>
    <row r="6">
      <c r="A6" s="37" t="n">
        <v>5</v>
      </c>
      <c r="B6" s="2" t="inlineStr">
        <is>
          <t>MB</t>
        </is>
      </c>
      <c r="C6" s="2" t="inlineStr">
        <is>
          <t>Muy bueno</t>
        </is>
      </c>
      <c r="D6" s="2" t="n">
        <v>25</v>
      </c>
      <c r="F6" t="n">
        <v>5</v>
      </c>
      <c r="I6">
        <f>MAX(J6:AK6)</f>
        <v/>
      </c>
    </row>
    <row r="7">
      <c r="A7" s="37" t="n"/>
      <c r="B7" s="2" t="n"/>
      <c r="C7" s="2" t="n"/>
      <c r="D7" s="2" t="n">
        <v>0</v>
      </c>
      <c r="F7" t="n">
        <v>6</v>
      </c>
      <c r="I7">
        <f>MAX(J7:AK7)</f>
        <v/>
      </c>
    </row>
    <row r="8">
      <c r="A8" s="37" t="n"/>
      <c r="B8" s="2" t="n"/>
      <c r="C8" s="2" t="n"/>
      <c r="D8" s="2" t="n">
        <v>0</v>
      </c>
      <c r="F8" t="n">
        <v>7</v>
      </c>
      <c r="I8">
        <f>MAX(J8:AK8)</f>
        <v/>
      </c>
    </row>
    <row r="9">
      <c r="A9" s="37" t="n"/>
      <c r="B9" s="2" t="n"/>
      <c r="C9" s="2" t="n"/>
      <c r="D9" s="2" t="n">
        <v>0</v>
      </c>
      <c r="F9" t="n">
        <v>8</v>
      </c>
      <c r="I9">
        <f>MAX(J9:AK9)</f>
        <v/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 t="n">
        <v>2</v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 t="n">
        <v>2</v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 t="n">
        <v>2</v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 t="n">
        <v>2</v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36">
      <formula>""</formula>
    </cfRule>
  </conditionalFormatting>
  <conditionalFormatting sqref="D2:D13">
    <cfRule type="cellIs" priority="1" operator="notEqual" dxfId="36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2024-05-03T14:05:15Z</dcterms:modified>
  <cp:lastModifiedBy>Leandro Gutierrez A.</cp:lastModifiedBy>
  <cp:lastPrinted>2012-11-30T22:55:58Z</cp:lastPrinted>
</cp:coreProperties>
</file>