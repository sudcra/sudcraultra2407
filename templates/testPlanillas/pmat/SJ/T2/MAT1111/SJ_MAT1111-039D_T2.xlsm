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1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ALMONACID VASQUEZ NICOLAS DANTE</t>
        </is>
      </c>
      <c r="C10" s="14" t="inlineStr">
        <is>
          <t>211996528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ARAVENA MORALES BENJAMIN GUSTAVO</t>
        </is>
      </c>
      <c r="C11" s="18" t="inlineStr">
        <is>
          <t>218496954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BAEZ ACUNA BENJAMIN ANTONIO</t>
        </is>
      </c>
      <c r="C12" s="14" t="inlineStr">
        <is>
          <t>217449294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CAMUS ROJAS FERNANDO ESTEBAN</t>
        </is>
      </c>
      <c r="C13" s="18" t="inlineStr">
        <is>
          <t>215232875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CANDIA MUNOZ CRISTOPHER ALEXANDER</t>
        </is>
      </c>
      <c r="C14" s="14" t="inlineStr">
        <is>
          <t>216647807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CARCAMO UGALDE ELIAS DANIEL</t>
        </is>
      </c>
      <c r="C15" s="14" t="inlineStr">
        <is>
          <t>219644191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CARRASCO SANTANDER CRISTOBAL ALESSANDRO</t>
        </is>
      </c>
      <c r="C16" s="18" t="inlineStr">
        <is>
          <t>212442887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CHAMORRO GARRIDO FELIPE IGNACIO</t>
        </is>
      </c>
      <c r="C17" s="14" t="inlineStr">
        <is>
          <t>208438328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CONCHA ACUNA JOSE MATIAS</t>
        </is>
      </c>
      <c r="C18" s="14" t="inlineStr">
        <is>
          <t>219243987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CONTRERAS BARRAZA JOAQUIN VICENTE</t>
        </is>
      </c>
      <c r="C19" s="18" t="inlineStr">
        <is>
          <t>217975247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FUENTES BURBOA BAYRON MATIAS</t>
        </is>
      </c>
      <c r="C20" s="18" t="inlineStr">
        <is>
          <t>21244698K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GALVEZ SANTANDER DIEGO ANTONIO</t>
        </is>
      </c>
      <c r="C21" s="18" t="inlineStr">
        <is>
          <t>216004345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GARRIDO NAGUIL BASTIAN ALBERTO</t>
        </is>
      </c>
      <c r="C22" s="18" t="inlineStr">
        <is>
          <t>202414311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GONZALES CUYA RENZO</t>
        </is>
      </c>
      <c r="C23" s="18" t="inlineStr">
        <is>
          <t>215097269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GONZALEZ LAGOS SEBASTIAN JAVIER</t>
        </is>
      </c>
      <c r="C24" s="18" t="inlineStr">
        <is>
          <t>202873588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GONZALEZ VASQUEZ RENATO ALONZO</t>
        </is>
      </c>
      <c r="C25" s="18" t="inlineStr">
        <is>
          <t>217864194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JARA PACHECO IGNACIO ALEXANDER</t>
        </is>
      </c>
      <c r="C26" s="18" t="inlineStr">
        <is>
          <t>207934518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JARAMILLO HUALACAN MARIO ORLANDO</t>
        </is>
      </c>
      <c r="C27" s="18" t="inlineStr">
        <is>
          <t>218855431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LOBOS ORTIZ DIEGO ALONSO</t>
        </is>
      </c>
      <c r="C28" s="18" t="inlineStr">
        <is>
          <t>202402208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LOPEZ ABRIGO FRANCISCA IGNACIA</t>
        </is>
      </c>
      <c r="C29" s="18" t="inlineStr">
        <is>
          <t>212437468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MANCILLA SOLIS DIEGO ANTONIO</t>
        </is>
      </c>
      <c r="C30" s="18" t="inlineStr">
        <is>
          <t>21467761K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MANRIQUEZ SEPULVEDA IAN ETHIAN</t>
        </is>
      </c>
      <c r="C31" s="18" t="inlineStr">
        <is>
          <t>22126245K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MAULEN ASTETE VICENTE JAVIER</t>
        </is>
      </c>
      <c r="C32" s="18" t="inlineStr">
        <is>
          <t>220649490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MCMANUS LIZANA TIARE ISSAMAR</t>
        </is>
      </c>
      <c r="C33" s="18" t="inlineStr">
        <is>
          <t>19443135K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MORA CASTRO MAXIMILIANO ANTONIO</t>
        </is>
      </c>
      <c r="C34" s="18" t="inlineStr">
        <is>
          <t>216831586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MORALES VALDERRAMA BASTIAN ANDRES</t>
        </is>
      </c>
      <c r="C35" s="18" t="inlineStr">
        <is>
          <t>217339804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MOYA VARGAS BASTIAN IGNACIO</t>
        </is>
      </c>
      <c r="C36" s="18" t="inlineStr">
        <is>
          <t>214559196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MUNOZ QUIROZ FREDDY ANTONIO</t>
        </is>
      </c>
      <c r="C37" s="18" t="inlineStr">
        <is>
          <t>220101398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NOGUERA GALEA NAYIBE</t>
        </is>
      </c>
      <c r="C38" s="18" t="inlineStr">
        <is>
          <t>262652238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OSSES VENEGAS NICOLA ANDRE</t>
        </is>
      </c>
      <c r="C39" s="18" t="inlineStr">
        <is>
          <t>211443065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PASTEN CODOCEO BAIRO ANGEL</t>
        </is>
      </c>
      <c r="C40" s="18" t="inlineStr">
        <is>
          <t>212414794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PEREZ TORO NICOLAS ANTONIO</t>
        </is>
      </c>
      <c r="C41" s="18" t="inlineStr">
        <is>
          <t>216876180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REYES AGUILERA MATIAS EDUARDO</t>
        </is>
      </c>
      <c r="C42" s="18" t="inlineStr">
        <is>
          <t>217845351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REYES AHUMADA PHILIPP</t>
        </is>
      </c>
      <c r="C43" s="18" t="inlineStr">
        <is>
          <t>212751545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ROSELL LATINEZ ALESSANDRO XAVIER</t>
        </is>
      </c>
      <c r="C44" s="18" t="inlineStr">
        <is>
          <t>221235525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SABJA LIZANA FELIPE EDUARDO</t>
        </is>
      </c>
      <c r="C45" s="18" t="inlineStr">
        <is>
          <t>202445381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SANDOVAL GODOY CRISTOBAL</t>
        </is>
      </c>
      <c r="C46" s="18" t="inlineStr">
        <is>
          <t>212947040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SEPULVEDA ARANDA PABLO ANDRES</t>
        </is>
      </c>
      <c r="C47" s="18" t="inlineStr">
        <is>
          <t>214595990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SILVA SILVA MAGDALENA DEL ROSARIO</t>
        </is>
      </c>
      <c r="C48" s="18" t="inlineStr">
        <is>
          <t>192279364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STAGNARO RODRIGUEZ BENJAMIN IGNACIO</t>
        </is>
      </c>
      <c r="C49" s="18" t="inlineStr">
        <is>
          <t>216240359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URETA GOMEZ JAVIERA</t>
        </is>
      </c>
      <c r="C50" s="18" t="inlineStr">
        <is>
          <t>205757422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>
      <c r="A51" s="17" t="n">
        <v>42</v>
      </c>
      <c r="B51" s="18" t="inlineStr">
        <is>
          <t>VALENZUELA NAVARRETE JEAN PIERRE</t>
        </is>
      </c>
      <c r="C51" s="18" t="inlineStr">
        <is>
          <t>219322755</t>
        </is>
      </c>
      <c r="D51" s="1" t="n"/>
      <c r="E51" s="28" t="n"/>
      <c r="F51" s="19" t="n"/>
      <c r="G51" s="19" t="n"/>
      <c r="H51" s="19" t="n"/>
      <c r="I51" s="19" t="n"/>
      <c r="J51" s="19" t="n"/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  <c r="X51" s="19" t="n"/>
      <c r="Y51" s="19" t="n"/>
      <c r="Z51" s="19" t="n"/>
      <c r="AA51" s="19" t="n"/>
      <c r="AB51" s="19" t="n"/>
      <c r="AC51" s="19" t="n"/>
      <c r="AD51" s="19" t="n"/>
      <c r="AE51" s="19" t="n"/>
      <c r="AF51" s="19" t="n"/>
      <c r="AG51" s="19" t="n"/>
      <c r="AH51" s="19" t="n"/>
      <c r="AI51" s="19" t="n"/>
      <c r="AJ51" s="19" t="n"/>
      <c r="AK51" s="19" t="n"/>
      <c r="AL51" s="19" t="n"/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9" t="n"/>
      <c r="BD51" s="19" t="n"/>
      <c r="BE51" s="19" t="n"/>
      <c r="BF51" s="19" t="n"/>
      <c r="BG51" s="19" t="n"/>
      <c r="BH51" s="19" t="n"/>
      <c r="BI51" s="19" t="n"/>
      <c r="BJ51" s="19" t="n"/>
      <c r="BK51" s="19" t="n"/>
      <c r="BL51" s="29" t="n"/>
      <c r="BM51">
        <f>IFERROR(VLOOKUP(BM$6,Hoja1!$F$2:$XFD$61,E51+4,FALSE),0)</f>
        <v/>
      </c>
      <c r="BN51">
        <f>IFERROR(VLOOKUP(BN$6,Hoja1!$F$2:$XFD$61,F51+4,FALSE),0)</f>
        <v/>
      </c>
      <c r="BO51">
        <f>IFERROR(VLOOKUP(BO$6,Hoja1!$F$2:$XFD$61,G51+4,FALSE),0)</f>
        <v/>
      </c>
      <c r="BP51">
        <f>IFERROR(VLOOKUP(BP$6,Hoja1!$F$2:$XFD$61,H51+4,FALSE),0)</f>
        <v/>
      </c>
      <c r="BQ51">
        <f>IFERROR(VLOOKUP(BQ$6,Hoja1!$F$2:$XFD$61,I51+4,FALSE),0)</f>
        <v/>
      </c>
      <c r="BR51">
        <f>IFERROR(VLOOKUP(BR$6,Hoja1!$F$2:$XFD$61,J51+4,FALSE),0)</f>
        <v/>
      </c>
      <c r="BS51">
        <f>IFERROR(VLOOKUP(BS$6,Hoja1!$F$2:$XFD$61,K51+4,FALSE),0)</f>
        <v/>
      </c>
      <c r="BT51">
        <f>IFERROR(VLOOKUP(BT$6,Hoja1!$F$2:$XFD$61,L51+4,FALSE),0)</f>
        <v/>
      </c>
      <c r="BU51">
        <f>IFERROR(VLOOKUP(BU$6,Hoja1!$F$2:$XFD$61,M51+4,FALSE),0)</f>
        <v/>
      </c>
      <c r="BV51">
        <f>IFERROR(VLOOKUP(BV$6,Hoja1!$F$2:$XFD$61,N51+4,FALSE),0)</f>
        <v/>
      </c>
      <c r="BW51">
        <f>IFERROR(VLOOKUP(BW$6,Hoja1!$F$2:$XFD$61,O51+4,FALSE),0)</f>
        <v/>
      </c>
      <c r="BX51">
        <f>IFERROR(VLOOKUP(BX$6,Hoja1!$F$2:$XFD$61,P51+4,FALSE),0)</f>
        <v/>
      </c>
      <c r="BY51">
        <f>IFERROR(VLOOKUP(BY$6,Hoja1!$F$2:$XFD$61,Q51+4,FALSE),0)</f>
        <v/>
      </c>
      <c r="BZ51">
        <f>IFERROR(VLOOKUP(BZ$6,Hoja1!$F$2:$XFD$61,R51+4,FALSE),0)</f>
        <v/>
      </c>
      <c r="CA51">
        <f>IFERROR(VLOOKUP(CA$6,Hoja1!$F$2:$XFD$61,S51+4,FALSE),0)</f>
        <v/>
      </c>
      <c r="CB51">
        <f>IFERROR(VLOOKUP(CB$6,Hoja1!$F$2:$XFD$61,T51+4,FALSE),0)</f>
        <v/>
      </c>
      <c r="CC51">
        <f>IFERROR(VLOOKUP(CC$6,Hoja1!$F$2:$XFD$61,U51+4,FALSE),0)</f>
        <v/>
      </c>
      <c r="CD51">
        <f>IFERROR(VLOOKUP(CD$6,Hoja1!$F$2:$XFD$61,V51+4,FALSE),0)</f>
        <v/>
      </c>
      <c r="CE51">
        <f>IFERROR(VLOOKUP(CE$6,Hoja1!$F$2:$XFD$61,W51+4,FALSE),0)</f>
        <v/>
      </c>
      <c r="CF51">
        <f>IFERROR(VLOOKUP(CF$6,Hoja1!$F$2:$XFD$61,X51+4,FALSE),0)</f>
        <v/>
      </c>
      <c r="CG51">
        <f>IFERROR(VLOOKUP(CG$6,Hoja1!$F$2:$XFD$61,Y51+4,FALSE),0)</f>
        <v/>
      </c>
      <c r="CH51">
        <f>IFERROR(VLOOKUP(CH$6,Hoja1!$F$2:$XFD$61,Z51+4,FALSE),0)</f>
        <v/>
      </c>
      <c r="CI51">
        <f>IFERROR(VLOOKUP(CI$6,Hoja1!$F$2:$XFD$61,AA51+4,FALSE),0)</f>
        <v/>
      </c>
      <c r="CJ51">
        <f>IFERROR(VLOOKUP(CJ$6,Hoja1!$F$2:$XFD$61,AB51+4,FALSE),0)</f>
        <v/>
      </c>
      <c r="CK51">
        <f>IFERROR(VLOOKUP(CK$6,Hoja1!$F$2:$XFD$61,AC51+4,FALSE),0)</f>
        <v/>
      </c>
      <c r="CL51">
        <f>IFERROR(VLOOKUP(CL$6,Hoja1!$F$2:$XFD$61,AD51+4,FALSE),0)</f>
        <v/>
      </c>
      <c r="CM51">
        <f>IFERROR(VLOOKUP(CM$6,Hoja1!$F$2:$XFD$61,AE51+4,FALSE),0)</f>
        <v/>
      </c>
      <c r="CN51">
        <f>IFERROR(VLOOKUP(CN$6,Hoja1!$F$2:$XFD$61,AF51+4,FALSE),0)</f>
        <v/>
      </c>
      <c r="CO51">
        <f>IFERROR(VLOOKUP(CO$6,Hoja1!$F$2:$XFD$61,AG51+4,FALSE),0)</f>
        <v/>
      </c>
      <c r="CP51">
        <f>IFERROR(VLOOKUP(CP$6,Hoja1!$F$2:$XFD$61,AH51+4,FALSE),0)</f>
        <v/>
      </c>
      <c r="CQ51">
        <f>IFERROR(VLOOKUP(CQ$6,Hoja1!$F$2:$XFD$61,AI51+4,FALSE),0)</f>
        <v/>
      </c>
      <c r="CR51">
        <f>IFERROR(VLOOKUP(CR$6,Hoja1!$F$2:$XFD$61,AJ51+4,FALSE),0)</f>
        <v/>
      </c>
      <c r="CS51">
        <f>IFERROR(VLOOKUP(CS$6,Hoja1!$F$2:$XFD$61,AK51+4,FALSE),0)</f>
        <v/>
      </c>
      <c r="CT51">
        <f>IFERROR(VLOOKUP(CT$6,Hoja1!$F$2:$XFD$61,AL51+4,FALSE),0)</f>
        <v/>
      </c>
      <c r="CU51">
        <f>IFERROR(VLOOKUP(CU$6,Hoja1!$F$2:$XFD$61,AM51+4,FALSE),0)</f>
        <v/>
      </c>
      <c r="CV51">
        <f>IFERROR(VLOOKUP(CV$6,Hoja1!$F$2:$XFD$61,AN51+4,FALSE),0)</f>
        <v/>
      </c>
      <c r="CW51">
        <f>IFERROR(VLOOKUP(CW$6,Hoja1!$F$2:$XFD$61,AO51+4,FALSE),0)</f>
        <v/>
      </c>
      <c r="CX51">
        <f>IFERROR(VLOOKUP(CX$6,Hoja1!$F$2:$XFD$61,AP51+4,FALSE),0)</f>
        <v/>
      </c>
      <c r="CY51">
        <f>IFERROR(VLOOKUP(CY$6,Hoja1!$F$2:$XFD$61,AQ51+4,FALSE),0)</f>
        <v/>
      </c>
      <c r="CZ51">
        <f>IFERROR(VLOOKUP(CZ$6,Hoja1!$F$2:$XFD$61,AR51+4,FALSE),0)</f>
        <v/>
      </c>
      <c r="DA51">
        <f>IFERROR(VLOOKUP(DA$6,Hoja1!$F$2:$XFD$61,AS51+4,FALSE),0)</f>
        <v/>
      </c>
      <c r="DB51">
        <f>IFERROR(VLOOKUP(DB$6,Hoja1!$F$2:$XFD$61,AT51+4,FALSE),0)</f>
        <v/>
      </c>
      <c r="DC51">
        <f>IFERROR(VLOOKUP(DC$6,Hoja1!$F$2:$XFD$61,AU51+4,FALSE),0)</f>
        <v/>
      </c>
      <c r="DD51">
        <f>IFERROR(VLOOKUP(DD$6,Hoja1!$F$2:$XFD$61,AV51+4,FALSE),0)</f>
        <v/>
      </c>
      <c r="DE51">
        <f>IFERROR(VLOOKUP(DE$6,Hoja1!$F$2:$XFD$61,AW51+4,FALSE),0)</f>
        <v/>
      </c>
      <c r="DF51">
        <f>IFERROR(VLOOKUP(DF$6,Hoja1!$F$2:$XFD$61,AX51+4,FALSE),0)</f>
        <v/>
      </c>
      <c r="DG51">
        <f>IFERROR(VLOOKUP(DG$6,Hoja1!$F$2:$XFD$61,AY51+4,FALSE),0)</f>
        <v/>
      </c>
      <c r="DH51">
        <f>IFERROR(VLOOKUP(DH$6,Hoja1!$F$2:$XFD$61,AZ51+4,FALSE),0)</f>
        <v/>
      </c>
      <c r="DI51">
        <f>IFERROR(VLOOKUP(DI$6,Hoja1!$F$2:$XFD$61,BA51+4,FALSE),0)</f>
        <v/>
      </c>
      <c r="DJ51">
        <f>IFERROR(VLOOKUP(DJ$6,Hoja1!$F$2:$XFD$61,BB51+4,FALSE),0)</f>
        <v/>
      </c>
      <c r="DK51">
        <f>IFERROR(VLOOKUP(DK$6,Hoja1!$F$2:$XFD$61,BC51+4,FALSE),0)</f>
        <v/>
      </c>
      <c r="DL51">
        <f>IFERROR(VLOOKUP(DL$6,Hoja1!$F$2:$XFD$61,BD51+4,FALSE),0)</f>
        <v/>
      </c>
      <c r="DM51">
        <f>IFERROR(VLOOKUP(DM$6,Hoja1!$F$2:$XFD$61,BE51+4,FALSE),0)</f>
        <v/>
      </c>
      <c r="DN51">
        <f>IFERROR(VLOOKUP(DN$6,Hoja1!$F$2:$XFD$61,BF51+4,FALSE),0)</f>
        <v/>
      </c>
      <c r="DO51">
        <f>IFERROR(VLOOKUP(DO$6,Hoja1!$F$2:$XFD$61,BG51+4,FALSE),0)</f>
        <v/>
      </c>
      <c r="DP51">
        <f>IFERROR(VLOOKUP(DP$6,Hoja1!$F$2:$XFD$61,BH51+4,FALSE),0)</f>
        <v/>
      </c>
      <c r="DQ51">
        <f>IFERROR(VLOOKUP(DQ$6,Hoja1!$F$2:$XFD$61,BI51+4,FALSE),0)</f>
        <v/>
      </c>
      <c r="DR51">
        <f>IFERROR(VLOOKUP(DR$6,Hoja1!$F$2:$XFD$61,BJ51+4,FALSE),0)</f>
        <v/>
      </c>
      <c r="DS51">
        <f>IFERROR(VLOOKUP(DS$6,Hoja1!$F$2:$XFD$61,BK51+4,FALSE),0)</f>
        <v/>
      </c>
      <c r="DT51">
        <f>IFERROR(VLOOKUP(DT$6,Hoja1!$F$2:$XFD$61,BL51+4,FALSE),0)</f>
        <v/>
      </c>
      <c r="DU51" s="15">
        <f>IF(COUNT(E51:BL51)=$DV$7,IF(D51="","indique grupo",SUM(BM51:DT51)),"")</f>
        <v/>
      </c>
      <c r="DV51" s="16">
        <f>IF(D51&lt;&gt;"",IF(DU51="","",IF(DU51&gt;=$DU$7*Hoja1!$E$2,4+3/($DU$7*(1-Hoja1!$E$2))*(DU51-$DU$7*Hoja1!$E$2),1+3/($DU$7*Hoja1!$E$2)*DU51)),DU51)</f>
        <v/>
      </c>
      <c r="DW51" s="47" t="b">
        <v>0</v>
      </c>
    </row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2024-05-03T14:10:24Z</dcterms:modified>
  <cp:lastModifiedBy>Leandro Gutierrez A.</cp:lastModifiedBy>
  <cp:lastPrinted>2012-11-30T22:55:58Z</cp:lastPrinted>
</cp:coreProperties>
</file>