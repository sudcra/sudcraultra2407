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ALFARO TABILO DIEGO IGNACIO</t>
        </is>
      </c>
      <c r="C10" s="14" t="inlineStr">
        <is>
          <t>214890925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ARAYA FLORES THOMAS IGNACIO</t>
        </is>
      </c>
      <c r="C11" s="18" t="inlineStr">
        <is>
          <t>218608434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BRAVO GONZALEZ NICOLAS</t>
        </is>
      </c>
      <c r="C12" s="14" t="inlineStr">
        <is>
          <t>220206203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BRUNA CORTEZ VICTOR GUSTAVO</t>
        </is>
      </c>
      <c r="C13" s="18" t="inlineStr">
        <is>
          <t>220521273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BUSTAMANTE CASANUEVAS BENJAMIN ELIAS</t>
        </is>
      </c>
      <c r="C14" s="14" t="inlineStr">
        <is>
          <t>210936106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BUSTOS OLIVOS NICOLAS ANDRES</t>
        </is>
      </c>
      <c r="C15" s="14" t="inlineStr">
        <is>
          <t>218811388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CABRERA BOURGUET VALENTINA ANTONIA</t>
        </is>
      </c>
      <c r="C16" s="18" t="inlineStr">
        <is>
          <t>217684676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CAMPILLAY ROJAS VICENTE RAUL</t>
        </is>
      </c>
      <c r="C17" s="14" t="inlineStr">
        <is>
          <t>210856269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CARTES CARRION MARTIN SALVADOR</t>
        </is>
      </c>
      <c r="C18" s="14" t="inlineStr">
        <is>
          <t>218295673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CARVAJAL OLIVARES ANGEL GABRIEL</t>
        </is>
      </c>
      <c r="C19" s="18" t="inlineStr">
        <is>
          <t>218084699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CARVALLO HIDALGO ALEJANDRO ANDRES</t>
        </is>
      </c>
      <c r="C20" s="18" t="inlineStr">
        <is>
          <t>215520757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CIFUENTES CISTERNAS MARTIN ENRIQUE</t>
        </is>
      </c>
      <c r="C21" s="18" t="inlineStr">
        <is>
          <t>215975150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CONCHA ARDILES AXEL</t>
        </is>
      </c>
      <c r="C22" s="18" t="inlineStr">
        <is>
          <t>208447661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CONCHA CARTAGENA AMARO OCIEL</t>
        </is>
      </c>
      <c r="C23" s="18" t="inlineStr">
        <is>
          <t>218313191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FERNANDEZ MILLAO LUIS FELIPE</t>
        </is>
      </c>
      <c r="C24" s="18" t="inlineStr">
        <is>
          <t>220060837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FERNANDEZ SAAVEDRA JOAQUIN ISAIAS</t>
        </is>
      </c>
      <c r="C25" s="18" t="inlineStr">
        <is>
          <t>220462870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FUENZALIDA MERINO DAVID IGNACIO</t>
        </is>
      </c>
      <c r="C26" s="18" t="inlineStr">
        <is>
          <t>220720284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GARNICA MONTECINO BENJAMIN IGNACIO</t>
        </is>
      </c>
      <c r="C27" s="18" t="inlineStr">
        <is>
          <t>21383276K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GOMEZ CACERES TOMAS ANDRES</t>
        </is>
      </c>
      <c r="C28" s="18" t="inlineStr">
        <is>
          <t>219388403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GONZALEZ CHANDIA JOAQUIN</t>
        </is>
      </c>
      <c r="C29" s="18" t="inlineStr">
        <is>
          <t>215333124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GONZALEZ URRUTIA MATIAS ALEJANDRO ANDRES</t>
        </is>
      </c>
      <c r="C30" s="18" t="inlineStr">
        <is>
          <t>218375995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HENRIQUEZ SANTANA MATIAS</t>
        </is>
      </c>
      <c r="C31" s="18" t="inlineStr">
        <is>
          <t>213866028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HERRERA SAN MARTIN NICOLAS IGNACIO</t>
        </is>
      </c>
      <c r="C32" s="18" t="inlineStr">
        <is>
          <t>212838136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HUIRIQUEO PONCE BRUNO JESUS</t>
        </is>
      </c>
      <c r="C33" s="18" t="inlineStr">
        <is>
          <t>210228713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LOPEZ OKUINGHTTONS BASTIAN RENE ENRRIQUE</t>
        </is>
      </c>
      <c r="C34" s="18" t="inlineStr">
        <is>
          <t>21387019K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MARTINEZ CABALLERO PABLO ALBERTO</t>
        </is>
      </c>
      <c r="C35" s="18" t="inlineStr">
        <is>
          <t>220291030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MORA ZIEGLER CARLOS ANDRES</t>
        </is>
      </c>
      <c r="C36" s="18" t="inlineStr">
        <is>
          <t>21844413K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MUNOZ MARTINEZ MARIA JESUS</t>
        </is>
      </c>
      <c r="C37" s="18" t="inlineStr">
        <is>
          <t>222182832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ORTUBIA CONTRERAS RICARDO ANDRES</t>
        </is>
      </c>
      <c r="C38" s="18" t="inlineStr">
        <is>
          <t>213931725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PAILLALEF RODRIGUEZ ERICKANTONIO</t>
        </is>
      </c>
      <c r="C39" s="18" t="inlineStr">
        <is>
          <t>21754033K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PALACIOS LOPEZ CAMILO ARIEL</t>
        </is>
      </c>
      <c r="C40" s="18" t="inlineStr">
        <is>
          <t>196200002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PALMA BALTIERRA GENESIS YAEL</t>
        </is>
      </c>
      <c r="C41" s="18" t="inlineStr">
        <is>
          <t>218910750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PEREZ RIVEROS NICOLAS IGNACIO</t>
        </is>
      </c>
      <c r="C42" s="18" t="inlineStr">
        <is>
          <t>21316600K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RAMIREZ ROA IGNACIO</t>
        </is>
      </c>
      <c r="C43" s="18" t="inlineStr">
        <is>
          <t>217515254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RETAMAL GONZALEZ VICENTE</t>
        </is>
      </c>
      <c r="C44" s="18" t="inlineStr">
        <is>
          <t>209693003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RIOS CERDA ALEJANDRO ADRIAN</t>
        </is>
      </c>
      <c r="C45" s="18" t="inlineStr">
        <is>
          <t>202238831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RIQUELME MORALES BENJAMIN IGNACIO</t>
        </is>
      </c>
      <c r="C46" s="18" t="inlineStr">
        <is>
          <t>220970000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ROJAS ROJAS JOAQUIN ANDRES</t>
        </is>
      </c>
      <c r="C47" s="18" t="inlineStr">
        <is>
          <t>214070677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RUZ GONZALEZ MIGUEL ANGEL</t>
        </is>
      </c>
      <c r="C48" s="18" t="inlineStr">
        <is>
          <t>204561370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SANCHEZ NEYRA NICOLAS LEONARDO</t>
        </is>
      </c>
      <c r="C49" s="18" t="inlineStr">
        <is>
          <t>213577387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SIERRA GONZALEZ FABIAN ALBERTO</t>
        </is>
      </c>
      <c r="C50" s="18" t="inlineStr">
        <is>
          <t>208890441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VALENZUELA BELLO IVAN FRANCISCO</t>
        </is>
      </c>
      <c r="C51" s="18" t="inlineStr">
        <is>
          <t>18171770K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VARGAS SAEZ BENJAMIN</t>
        </is>
      </c>
      <c r="C52" s="18" t="inlineStr">
        <is>
          <t>218476201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>
      <c r="A53" s="17" t="n">
        <v>44</v>
      </c>
      <c r="B53" s="18" t="inlineStr">
        <is>
          <t>VEGA SAN MARTIN JAIME ISAAC</t>
        </is>
      </c>
      <c r="C53" s="18" t="inlineStr">
        <is>
          <t>216441680</t>
        </is>
      </c>
      <c r="D53" s="1" t="n"/>
      <c r="E53" s="28" t="n"/>
      <c r="F53" s="19" t="n"/>
      <c r="G53" s="19" t="n"/>
      <c r="H53" s="19" t="n"/>
      <c r="I53" s="19" t="n"/>
      <c r="J53" s="19" t="n"/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  <c r="X53" s="19" t="n"/>
      <c r="Y53" s="19" t="n"/>
      <c r="Z53" s="19" t="n"/>
      <c r="AA53" s="19" t="n"/>
      <c r="AB53" s="19" t="n"/>
      <c r="AC53" s="19" t="n"/>
      <c r="AD53" s="19" t="n"/>
      <c r="AE53" s="19" t="n"/>
      <c r="AF53" s="19" t="n"/>
      <c r="AG53" s="19" t="n"/>
      <c r="AH53" s="19" t="n"/>
      <c r="AI53" s="19" t="n"/>
      <c r="AJ53" s="19" t="n"/>
      <c r="AK53" s="19" t="n"/>
      <c r="AL53" s="19" t="n"/>
      <c r="AM53" s="19" t="n"/>
      <c r="AN53" s="19" t="n"/>
      <c r="AO53" s="19" t="n"/>
      <c r="AP53" s="19" t="n"/>
      <c r="AQ53" s="19" t="n"/>
      <c r="AR53" s="19" t="n"/>
      <c r="AS53" s="19" t="n"/>
      <c r="AT53" s="19" t="n"/>
      <c r="AU53" s="19" t="n"/>
      <c r="AV53" s="19" t="n"/>
      <c r="AW53" s="19" t="n"/>
      <c r="AX53" s="19" t="n"/>
      <c r="AY53" s="19" t="n"/>
      <c r="AZ53" s="19" t="n"/>
      <c r="BA53" s="19" t="n"/>
      <c r="BB53" s="19" t="n"/>
      <c r="BC53" s="19" t="n"/>
      <c r="BD53" s="19" t="n"/>
      <c r="BE53" s="19" t="n"/>
      <c r="BF53" s="19" t="n"/>
      <c r="BG53" s="19" t="n"/>
      <c r="BH53" s="19" t="n"/>
      <c r="BI53" s="19" t="n"/>
      <c r="BJ53" s="19" t="n"/>
      <c r="BK53" s="19" t="n"/>
      <c r="BL53" s="29" t="n"/>
      <c r="BM53">
        <f>IFERROR(VLOOKUP(BM$6,Hoja1!$F$2:$XFD$61,E53+4,FALSE),0)</f>
        <v/>
      </c>
      <c r="BN53">
        <f>IFERROR(VLOOKUP(BN$6,Hoja1!$F$2:$XFD$61,F53+4,FALSE),0)</f>
        <v/>
      </c>
      <c r="BO53">
        <f>IFERROR(VLOOKUP(BO$6,Hoja1!$F$2:$XFD$61,G53+4,FALSE),0)</f>
        <v/>
      </c>
      <c r="BP53">
        <f>IFERROR(VLOOKUP(BP$6,Hoja1!$F$2:$XFD$61,H53+4,FALSE),0)</f>
        <v/>
      </c>
      <c r="BQ53">
        <f>IFERROR(VLOOKUP(BQ$6,Hoja1!$F$2:$XFD$61,I53+4,FALSE),0)</f>
        <v/>
      </c>
      <c r="BR53">
        <f>IFERROR(VLOOKUP(BR$6,Hoja1!$F$2:$XFD$61,J53+4,FALSE),0)</f>
        <v/>
      </c>
      <c r="BS53">
        <f>IFERROR(VLOOKUP(BS$6,Hoja1!$F$2:$XFD$61,K53+4,FALSE),0)</f>
        <v/>
      </c>
      <c r="BT53">
        <f>IFERROR(VLOOKUP(BT$6,Hoja1!$F$2:$XFD$61,L53+4,FALSE),0)</f>
        <v/>
      </c>
      <c r="BU53">
        <f>IFERROR(VLOOKUP(BU$6,Hoja1!$F$2:$XFD$61,M53+4,FALSE),0)</f>
        <v/>
      </c>
      <c r="BV53">
        <f>IFERROR(VLOOKUP(BV$6,Hoja1!$F$2:$XFD$61,N53+4,FALSE),0)</f>
        <v/>
      </c>
      <c r="BW53">
        <f>IFERROR(VLOOKUP(BW$6,Hoja1!$F$2:$XFD$61,O53+4,FALSE),0)</f>
        <v/>
      </c>
      <c r="BX53">
        <f>IFERROR(VLOOKUP(BX$6,Hoja1!$F$2:$XFD$61,P53+4,FALSE),0)</f>
        <v/>
      </c>
      <c r="BY53">
        <f>IFERROR(VLOOKUP(BY$6,Hoja1!$F$2:$XFD$61,Q53+4,FALSE),0)</f>
        <v/>
      </c>
      <c r="BZ53">
        <f>IFERROR(VLOOKUP(BZ$6,Hoja1!$F$2:$XFD$61,R53+4,FALSE),0)</f>
        <v/>
      </c>
      <c r="CA53">
        <f>IFERROR(VLOOKUP(CA$6,Hoja1!$F$2:$XFD$61,S53+4,FALSE),0)</f>
        <v/>
      </c>
      <c r="CB53">
        <f>IFERROR(VLOOKUP(CB$6,Hoja1!$F$2:$XFD$61,T53+4,FALSE),0)</f>
        <v/>
      </c>
      <c r="CC53">
        <f>IFERROR(VLOOKUP(CC$6,Hoja1!$F$2:$XFD$61,U53+4,FALSE),0)</f>
        <v/>
      </c>
      <c r="CD53">
        <f>IFERROR(VLOOKUP(CD$6,Hoja1!$F$2:$XFD$61,V53+4,FALSE),0)</f>
        <v/>
      </c>
      <c r="CE53">
        <f>IFERROR(VLOOKUP(CE$6,Hoja1!$F$2:$XFD$61,W53+4,FALSE),0)</f>
        <v/>
      </c>
      <c r="CF53">
        <f>IFERROR(VLOOKUP(CF$6,Hoja1!$F$2:$XFD$61,X53+4,FALSE),0)</f>
        <v/>
      </c>
      <c r="CG53">
        <f>IFERROR(VLOOKUP(CG$6,Hoja1!$F$2:$XFD$61,Y53+4,FALSE),0)</f>
        <v/>
      </c>
      <c r="CH53">
        <f>IFERROR(VLOOKUP(CH$6,Hoja1!$F$2:$XFD$61,Z53+4,FALSE),0)</f>
        <v/>
      </c>
      <c r="CI53">
        <f>IFERROR(VLOOKUP(CI$6,Hoja1!$F$2:$XFD$61,AA53+4,FALSE),0)</f>
        <v/>
      </c>
      <c r="CJ53">
        <f>IFERROR(VLOOKUP(CJ$6,Hoja1!$F$2:$XFD$61,AB53+4,FALSE),0)</f>
        <v/>
      </c>
      <c r="CK53">
        <f>IFERROR(VLOOKUP(CK$6,Hoja1!$F$2:$XFD$61,AC53+4,FALSE),0)</f>
        <v/>
      </c>
      <c r="CL53">
        <f>IFERROR(VLOOKUP(CL$6,Hoja1!$F$2:$XFD$61,AD53+4,FALSE),0)</f>
        <v/>
      </c>
      <c r="CM53">
        <f>IFERROR(VLOOKUP(CM$6,Hoja1!$F$2:$XFD$61,AE53+4,FALSE),0)</f>
        <v/>
      </c>
      <c r="CN53">
        <f>IFERROR(VLOOKUP(CN$6,Hoja1!$F$2:$XFD$61,AF53+4,FALSE),0)</f>
        <v/>
      </c>
      <c r="CO53">
        <f>IFERROR(VLOOKUP(CO$6,Hoja1!$F$2:$XFD$61,AG53+4,FALSE),0)</f>
        <v/>
      </c>
      <c r="CP53">
        <f>IFERROR(VLOOKUP(CP$6,Hoja1!$F$2:$XFD$61,AH53+4,FALSE),0)</f>
        <v/>
      </c>
      <c r="CQ53">
        <f>IFERROR(VLOOKUP(CQ$6,Hoja1!$F$2:$XFD$61,AI53+4,FALSE),0)</f>
        <v/>
      </c>
      <c r="CR53">
        <f>IFERROR(VLOOKUP(CR$6,Hoja1!$F$2:$XFD$61,AJ53+4,FALSE),0)</f>
        <v/>
      </c>
      <c r="CS53">
        <f>IFERROR(VLOOKUP(CS$6,Hoja1!$F$2:$XFD$61,AK53+4,FALSE),0)</f>
        <v/>
      </c>
      <c r="CT53">
        <f>IFERROR(VLOOKUP(CT$6,Hoja1!$F$2:$XFD$61,AL53+4,FALSE),0)</f>
        <v/>
      </c>
      <c r="CU53">
        <f>IFERROR(VLOOKUP(CU$6,Hoja1!$F$2:$XFD$61,AM53+4,FALSE),0)</f>
        <v/>
      </c>
      <c r="CV53">
        <f>IFERROR(VLOOKUP(CV$6,Hoja1!$F$2:$XFD$61,AN53+4,FALSE),0)</f>
        <v/>
      </c>
      <c r="CW53">
        <f>IFERROR(VLOOKUP(CW$6,Hoja1!$F$2:$XFD$61,AO53+4,FALSE),0)</f>
        <v/>
      </c>
      <c r="CX53">
        <f>IFERROR(VLOOKUP(CX$6,Hoja1!$F$2:$XFD$61,AP53+4,FALSE),0)</f>
        <v/>
      </c>
      <c r="CY53">
        <f>IFERROR(VLOOKUP(CY$6,Hoja1!$F$2:$XFD$61,AQ53+4,FALSE),0)</f>
        <v/>
      </c>
      <c r="CZ53">
        <f>IFERROR(VLOOKUP(CZ$6,Hoja1!$F$2:$XFD$61,AR53+4,FALSE),0)</f>
        <v/>
      </c>
      <c r="DA53">
        <f>IFERROR(VLOOKUP(DA$6,Hoja1!$F$2:$XFD$61,AS53+4,FALSE),0)</f>
        <v/>
      </c>
      <c r="DB53">
        <f>IFERROR(VLOOKUP(DB$6,Hoja1!$F$2:$XFD$61,AT53+4,FALSE),0)</f>
        <v/>
      </c>
      <c r="DC53">
        <f>IFERROR(VLOOKUP(DC$6,Hoja1!$F$2:$XFD$61,AU53+4,FALSE),0)</f>
        <v/>
      </c>
      <c r="DD53">
        <f>IFERROR(VLOOKUP(DD$6,Hoja1!$F$2:$XFD$61,AV53+4,FALSE),0)</f>
        <v/>
      </c>
      <c r="DE53">
        <f>IFERROR(VLOOKUP(DE$6,Hoja1!$F$2:$XFD$61,AW53+4,FALSE),0)</f>
        <v/>
      </c>
      <c r="DF53">
        <f>IFERROR(VLOOKUP(DF$6,Hoja1!$F$2:$XFD$61,AX53+4,FALSE),0)</f>
        <v/>
      </c>
      <c r="DG53">
        <f>IFERROR(VLOOKUP(DG$6,Hoja1!$F$2:$XFD$61,AY53+4,FALSE),0)</f>
        <v/>
      </c>
      <c r="DH53">
        <f>IFERROR(VLOOKUP(DH$6,Hoja1!$F$2:$XFD$61,AZ53+4,FALSE),0)</f>
        <v/>
      </c>
      <c r="DI53">
        <f>IFERROR(VLOOKUP(DI$6,Hoja1!$F$2:$XFD$61,BA53+4,FALSE),0)</f>
        <v/>
      </c>
      <c r="DJ53">
        <f>IFERROR(VLOOKUP(DJ$6,Hoja1!$F$2:$XFD$61,BB53+4,FALSE),0)</f>
        <v/>
      </c>
      <c r="DK53">
        <f>IFERROR(VLOOKUP(DK$6,Hoja1!$F$2:$XFD$61,BC53+4,FALSE),0)</f>
        <v/>
      </c>
      <c r="DL53">
        <f>IFERROR(VLOOKUP(DL$6,Hoja1!$F$2:$XFD$61,BD53+4,FALSE),0)</f>
        <v/>
      </c>
      <c r="DM53">
        <f>IFERROR(VLOOKUP(DM$6,Hoja1!$F$2:$XFD$61,BE53+4,FALSE),0)</f>
        <v/>
      </c>
      <c r="DN53">
        <f>IFERROR(VLOOKUP(DN$6,Hoja1!$F$2:$XFD$61,BF53+4,FALSE),0)</f>
        <v/>
      </c>
      <c r="DO53">
        <f>IFERROR(VLOOKUP(DO$6,Hoja1!$F$2:$XFD$61,BG53+4,FALSE),0)</f>
        <v/>
      </c>
      <c r="DP53">
        <f>IFERROR(VLOOKUP(DP$6,Hoja1!$F$2:$XFD$61,BH53+4,FALSE),0)</f>
        <v/>
      </c>
      <c r="DQ53">
        <f>IFERROR(VLOOKUP(DQ$6,Hoja1!$F$2:$XFD$61,BI53+4,FALSE),0)</f>
        <v/>
      </c>
      <c r="DR53">
        <f>IFERROR(VLOOKUP(DR$6,Hoja1!$F$2:$XFD$61,BJ53+4,FALSE),0)</f>
        <v/>
      </c>
      <c r="DS53">
        <f>IFERROR(VLOOKUP(DS$6,Hoja1!$F$2:$XFD$61,BK53+4,FALSE),0)</f>
        <v/>
      </c>
      <c r="DT53">
        <f>IFERROR(VLOOKUP(DT$6,Hoja1!$F$2:$XFD$61,BL53+4,FALSE),0)</f>
        <v/>
      </c>
      <c r="DU53" s="15">
        <f>IF(COUNT(E53:BL53)=$DV$7,IF(D53="","indique grupo",SUM(BM53:DT53)),"")</f>
        <v/>
      </c>
      <c r="DV53" s="16">
        <f>IF(D53&lt;&gt;"",IF(DU53="","",IF(DU53&gt;=$DU$7*Hoja1!$E$2,4+3/($DU$7*(1-Hoja1!$E$2))*(DU53-$DU$7*Hoja1!$E$2),1+3/($DU$7*Hoja1!$E$2)*DU53)),DU53)</f>
        <v/>
      </c>
      <c r="DW53" s="47" t="b">
        <v>0</v>
      </c>
    </row>
    <row r="54" ht="23.25" customHeight="1">
      <c r="A54" s="17" t="n">
        <v>45</v>
      </c>
      <c r="B54" s="18" t="inlineStr">
        <is>
          <t>ZUÑIGA BASTIAS ARIEL ALBERTO</t>
        </is>
      </c>
      <c r="C54" s="18" t="inlineStr">
        <is>
          <t>209240041</t>
        </is>
      </c>
      <c r="D54" s="1" t="n"/>
      <c r="E54" s="28" t="n"/>
      <c r="F54" s="19" t="n"/>
      <c r="G54" s="19" t="n"/>
      <c r="H54" s="19" t="n"/>
      <c r="I54" s="19" t="n"/>
      <c r="J54" s="19" t="n"/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  <c r="X54" s="19" t="n"/>
      <c r="Y54" s="19" t="n"/>
      <c r="Z54" s="19" t="n"/>
      <c r="AA54" s="19" t="n"/>
      <c r="AB54" s="19" t="n"/>
      <c r="AC54" s="19" t="n"/>
      <c r="AD54" s="19" t="n"/>
      <c r="AE54" s="19" t="n"/>
      <c r="AF54" s="19" t="n"/>
      <c r="AG54" s="19" t="n"/>
      <c r="AH54" s="19" t="n"/>
      <c r="AI54" s="19" t="n"/>
      <c r="AJ54" s="19" t="n"/>
      <c r="AK54" s="19" t="n"/>
      <c r="AL54" s="19" t="n"/>
      <c r="AM54" s="19" t="n"/>
      <c r="AN54" s="19" t="n"/>
      <c r="AO54" s="19" t="n"/>
      <c r="AP54" s="19" t="n"/>
      <c r="AQ54" s="19" t="n"/>
      <c r="AR54" s="19" t="n"/>
      <c r="AS54" s="19" t="n"/>
      <c r="AT54" s="19" t="n"/>
      <c r="AU54" s="19" t="n"/>
      <c r="AV54" s="19" t="n"/>
      <c r="AW54" s="19" t="n"/>
      <c r="AX54" s="19" t="n"/>
      <c r="AY54" s="19" t="n"/>
      <c r="AZ54" s="19" t="n"/>
      <c r="BA54" s="19" t="n"/>
      <c r="BB54" s="19" t="n"/>
      <c r="BC54" s="19" t="n"/>
      <c r="BD54" s="19" t="n"/>
      <c r="BE54" s="19" t="n"/>
      <c r="BF54" s="19" t="n"/>
      <c r="BG54" s="19" t="n"/>
      <c r="BH54" s="19" t="n"/>
      <c r="BI54" s="19" t="n"/>
      <c r="BJ54" s="19" t="n"/>
      <c r="BK54" s="19" t="n"/>
      <c r="BL54" s="29" t="n"/>
      <c r="BM54">
        <f>IFERROR(VLOOKUP(BM$6,Hoja1!$F$2:$XFD$61,E54+4,FALSE),0)</f>
        <v/>
      </c>
      <c r="BN54">
        <f>IFERROR(VLOOKUP(BN$6,Hoja1!$F$2:$XFD$61,F54+4,FALSE),0)</f>
        <v/>
      </c>
      <c r="BO54">
        <f>IFERROR(VLOOKUP(BO$6,Hoja1!$F$2:$XFD$61,G54+4,FALSE),0)</f>
        <v/>
      </c>
      <c r="BP54">
        <f>IFERROR(VLOOKUP(BP$6,Hoja1!$F$2:$XFD$61,H54+4,FALSE),0)</f>
        <v/>
      </c>
      <c r="BQ54">
        <f>IFERROR(VLOOKUP(BQ$6,Hoja1!$F$2:$XFD$61,I54+4,FALSE),0)</f>
        <v/>
      </c>
      <c r="BR54">
        <f>IFERROR(VLOOKUP(BR$6,Hoja1!$F$2:$XFD$61,J54+4,FALSE),0)</f>
        <v/>
      </c>
      <c r="BS54">
        <f>IFERROR(VLOOKUP(BS$6,Hoja1!$F$2:$XFD$61,K54+4,FALSE),0)</f>
        <v/>
      </c>
      <c r="BT54">
        <f>IFERROR(VLOOKUP(BT$6,Hoja1!$F$2:$XFD$61,L54+4,FALSE),0)</f>
        <v/>
      </c>
      <c r="BU54">
        <f>IFERROR(VLOOKUP(BU$6,Hoja1!$F$2:$XFD$61,M54+4,FALSE),0)</f>
        <v/>
      </c>
      <c r="BV54">
        <f>IFERROR(VLOOKUP(BV$6,Hoja1!$F$2:$XFD$61,N54+4,FALSE),0)</f>
        <v/>
      </c>
      <c r="BW54">
        <f>IFERROR(VLOOKUP(BW$6,Hoja1!$F$2:$XFD$61,O54+4,FALSE),0)</f>
        <v/>
      </c>
      <c r="BX54">
        <f>IFERROR(VLOOKUP(BX$6,Hoja1!$F$2:$XFD$61,P54+4,FALSE),0)</f>
        <v/>
      </c>
      <c r="BY54">
        <f>IFERROR(VLOOKUP(BY$6,Hoja1!$F$2:$XFD$61,Q54+4,FALSE),0)</f>
        <v/>
      </c>
      <c r="BZ54">
        <f>IFERROR(VLOOKUP(BZ$6,Hoja1!$F$2:$XFD$61,R54+4,FALSE),0)</f>
        <v/>
      </c>
      <c r="CA54">
        <f>IFERROR(VLOOKUP(CA$6,Hoja1!$F$2:$XFD$61,S54+4,FALSE),0)</f>
        <v/>
      </c>
      <c r="CB54">
        <f>IFERROR(VLOOKUP(CB$6,Hoja1!$F$2:$XFD$61,T54+4,FALSE),0)</f>
        <v/>
      </c>
      <c r="CC54">
        <f>IFERROR(VLOOKUP(CC$6,Hoja1!$F$2:$XFD$61,U54+4,FALSE),0)</f>
        <v/>
      </c>
      <c r="CD54">
        <f>IFERROR(VLOOKUP(CD$6,Hoja1!$F$2:$XFD$61,V54+4,FALSE),0)</f>
        <v/>
      </c>
      <c r="CE54">
        <f>IFERROR(VLOOKUP(CE$6,Hoja1!$F$2:$XFD$61,W54+4,FALSE),0)</f>
        <v/>
      </c>
      <c r="CF54">
        <f>IFERROR(VLOOKUP(CF$6,Hoja1!$F$2:$XFD$61,X54+4,FALSE),0)</f>
        <v/>
      </c>
      <c r="CG54">
        <f>IFERROR(VLOOKUP(CG$6,Hoja1!$F$2:$XFD$61,Y54+4,FALSE),0)</f>
        <v/>
      </c>
      <c r="CH54">
        <f>IFERROR(VLOOKUP(CH$6,Hoja1!$F$2:$XFD$61,Z54+4,FALSE),0)</f>
        <v/>
      </c>
      <c r="CI54">
        <f>IFERROR(VLOOKUP(CI$6,Hoja1!$F$2:$XFD$61,AA54+4,FALSE),0)</f>
        <v/>
      </c>
      <c r="CJ54">
        <f>IFERROR(VLOOKUP(CJ$6,Hoja1!$F$2:$XFD$61,AB54+4,FALSE),0)</f>
        <v/>
      </c>
      <c r="CK54">
        <f>IFERROR(VLOOKUP(CK$6,Hoja1!$F$2:$XFD$61,AC54+4,FALSE),0)</f>
        <v/>
      </c>
      <c r="CL54">
        <f>IFERROR(VLOOKUP(CL$6,Hoja1!$F$2:$XFD$61,AD54+4,FALSE),0)</f>
        <v/>
      </c>
      <c r="CM54">
        <f>IFERROR(VLOOKUP(CM$6,Hoja1!$F$2:$XFD$61,AE54+4,FALSE),0)</f>
        <v/>
      </c>
      <c r="CN54">
        <f>IFERROR(VLOOKUP(CN$6,Hoja1!$F$2:$XFD$61,AF54+4,FALSE),0)</f>
        <v/>
      </c>
      <c r="CO54">
        <f>IFERROR(VLOOKUP(CO$6,Hoja1!$F$2:$XFD$61,AG54+4,FALSE),0)</f>
        <v/>
      </c>
      <c r="CP54">
        <f>IFERROR(VLOOKUP(CP$6,Hoja1!$F$2:$XFD$61,AH54+4,FALSE),0)</f>
        <v/>
      </c>
      <c r="CQ54">
        <f>IFERROR(VLOOKUP(CQ$6,Hoja1!$F$2:$XFD$61,AI54+4,FALSE),0)</f>
        <v/>
      </c>
      <c r="CR54">
        <f>IFERROR(VLOOKUP(CR$6,Hoja1!$F$2:$XFD$61,AJ54+4,FALSE),0)</f>
        <v/>
      </c>
      <c r="CS54">
        <f>IFERROR(VLOOKUP(CS$6,Hoja1!$F$2:$XFD$61,AK54+4,FALSE),0)</f>
        <v/>
      </c>
      <c r="CT54">
        <f>IFERROR(VLOOKUP(CT$6,Hoja1!$F$2:$XFD$61,AL54+4,FALSE),0)</f>
        <v/>
      </c>
      <c r="CU54">
        <f>IFERROR(VLOOKUP(CU$6,Hoja1!$F$2:$XFD$61,AM54+4,FALSE),0)</f>
        <v/>
      </c>
      <c r="CV54">
        <f>IFERROR(VLOOKUP(CV$6,Hoja1!$F$2:$XFD$61,AN54+4,FALSE),0)</f>
        <v/>
      </c>
      <c r="CW54">
        <f>IFERROR(VLOOKUP(CW$6,Hoja1!$F$2:$XFD$61,AO54+4,FALSE),0)</f>
        <v/>
      </c>
      <c r="CX54">
        <f>IFERROR(VLOOKUP(CX$6,Hoja1!$F$2:$XFD$61,AP54+4,FALSE),0)</f>
        <v/>
      </c>
      <c r="CY54">
        <f>IFERROR(VLOOKUP(CY$6,Hoja1!$F$2:$XFD$61,AQ54+4,FALSE),0)</f>
        <v/>
      </c>
      <c r="CZ54">
        <f>IFERROR(VLOOKUP(CZ$6,Hoja1!$F$2:$XFD$61,AR54+4,FALSE),0)</f>
        <v/>
      </c>
      <c r="DA54">
        <f>IFERROR(VLOOKUP(DA$6,Hoja1!$F$2:$XFD$61,AS54+4,FALSE),0)</f>
        <v/>
      </c>
      <c r="DB54">
        <f>IFERROR(VLOOKUP(DB$6,Hoja1!$F$2:$XFD$61,AT54+4,FALSE),0)</f>
        <v/>
      </c>
      <c r="DC54">
        <f>IFERROR(VLOOKUP(DC$6,Hoja1!$F$2:$XFD$61,AU54+4,FALSE),0)</f>
        <v/>
      </c>
      <c r="DD54">
        <f>IFERROR(VLOOKUP(DD$6,Hoja1!$F$2:$XFD$61,AV54+4,FALSE),0)</f>
        <v/>
      </c>
      <c r="DE54">
        <f>IFERROR(VLOOKUP(DE$6,Hoja1!$F$2:$XFD$61,AW54+4,FALSE),0)</f>
        <v/>
      </c>
      <c r="DF54">
        <f>IFERROR(VLOOKUP(DF$6,Hoja1!$F$2:$XFD$61,AX54+4,FALSE),0)</f>
        <v/>
      </c>
      <c r="DG54">
        <f>IFERROR(VLOOKUP(DG$6,Hoja1!$F$2:$XFD$61,AY54+4,FALSE),0)</f>
        <v/>
      </c>
      <c r="DH54">
        <f>IFERROR(VLOOKUP(DH$6,Hoja1!$F$2:$XFD$61,AZ54+4,FALSE),0)</f>
        <v/>
      </c>
      <c r="DI54">
        <f>IFERROR(VLOOKUP(DI$6,Hoja1!$F$2:$XFD$61,BA54+4,FALSE),0)</f>
        <v/>
      </c>
      <c r="DJ54">
        <f>IFERROR(VLOOKUP(DJ$6,Hoja1!$F$2:$XFD$61,BB54+4,FALSE),0)</f>
        <v/>
      </c>
      <c r="DK54">
        <f>IFERROR(VLOOKUP(DK$6,Hoja1!$F$2:$XFD$61,BC54+4,FALSE),0)</f>
        <v/>
      </c>
      <c r="DL54">
        <f>IFERROR(VLOOKUP(DL$6,Hoja1!$F$2:$XFD$61,BD54+4,FALSE),0)</f>
        <v/>
      </c>
      <c r="DM54">
        <f>IFERROR(VLOOKUP(DM$6,Hoja1!$F$2:$XFD$61,BE54+4,FALSE),0)</f>
        <v/>
      </c>
      <c r="DN54">
        <f>IFERROR(VLOOKUP(DN$6,Hoja1!$F$2:$XFD$61,BF54+4,FALSE),0)</f>
        <v/>
      </c>
      <c r="DO54">
        <f>IFERROR(VLOOKUP(DO$6,Hoja1!$F$2:$XFD$61,BG54+4,FALSE),0)</f>
        <v/>
      </c>
      <c r="DP54">
        <f>IFERROR(VLOOKUP(DP$6,Hoja1!$F$2:$XFD$61,BH54+4,FALSE),0)</f>
        <v/>
      </c>
      <c r="DQ54">
        <f>IFERROR(VLOOKUP(DQ$6,Hoja1!$F$2:$XFD$61,BI54+4,FALSE),0)</f>
        <v/>
      </c>
      <c r="DR54">
        <f>IFERROR(VLOOKUP(DR$6,Hoja1!$F$2:$XFD$61,BJ54+4,FALSE),0)</f>
        <v/>
      </c>
      <c r="DS54">
        <f>IFERROR(VLOOKUP(DS$6,Hoja1!$F$2:$XFD$61,BK54+4,FALSE),0)</f>
        <v/>
      </c>
      <c r="DT54">
        <f>IFERROR(VLOOKUP(DT$6,Hoja1!$F$2:$XFD$61,BL54+4,FALSE),0)</f>
        <v/>
      </c>
      <c r="DU54" s="15">
        <f>IF(COUNT(E54:BL54)=$DV$7,IF(D54="","indique grupo",SUM(BM54:DT54)),"")</f>
        <v/>
      </c>
      <c r="DV54" s="16">
        <f>IF(D54&lt;&gt;"",IF(DU54="","",IF(DU54&gt;=$DU$7*Hoja1!$E$2,4+3/($DU$7*(1-Hoja1!$E$2))*(DU54-$DU$7*Hoja1!$E$2),1+3/($DU$7*Hoja1!$E$2)*DU54)),DU54)</f>
        <v/>
      </c>
      <c r="DW54" s="47" t="b">
        <v>0</v>
      </c>
    </row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2024-05-03T14:11:24Z</dcterms:modified>
  <cp:lastModifiedBy>Leandro Gutierrez A.</cp:lastModifiedBy>
  <cp:lastPrinted>2012-11-30T22:55:58Z</cp:lastPrinted>
</cp:coreProperties>
</file>