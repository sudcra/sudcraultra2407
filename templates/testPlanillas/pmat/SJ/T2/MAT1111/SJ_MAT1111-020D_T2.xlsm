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9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ABARCA DALBORA ALIRO  BENJAMIN</t>
        </is>
      </c>
      <c r="C10" s="14" t="inlineStr">
        <is>
          <t>214913291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ALVAREZ NUNEZ SERGIO ALVAREZ</t>
        </is>
      </c>
      <c r="C11" s="18" t="inlineStr">
        <is>
          <t>219825927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ARAYA CARRASCO JORGE LUIS</t>
        </is>
      </c>
      <c r="C12" s="14" t="inlineStr">
        <is>
          <t>213161989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ARCE CANALES PAUL ROBERT</t>
        </is>
      </c>
      <c r="C13" s="18" t="inlineStr">
        <is>
          <t>213366335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ARELLANO ZEPEDA IGNACIO ALFONSO</t>
        </is>
      </c>
      <c r="C14" s="14" t="inlineStr">
        <is>
          <t>221158903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ARTIGAS VALENZUELA SANTIAGO</t>
        </is>
      </c>
      <c r="C15" s="14" t="inlineStr">
        <is>
          <t>220360970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BELTRAN LEFIMAN BENJAMIN IGNACIO</t>
        </is>
      </c>
      <c r="C16" s="18" t="inlineStr">
        <is>
          <t>217065356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CASTRO MENAY BENJAMIN IGNACIO</t>
        </is>
      </c>
      <c r="C17" s="14" t="inlineStr">
        <is>
          <t>219932219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CATALAN BARRERA CRISTOBAL BENJAMIN</t>
        </is>
      </c>
      <c r="C18" s="14" t="inlineStr">
        <is>
          <t>218798861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CERDA CISTERNA ALEJANDRO</t>
        </is>
      </c>
      <c r="C19" s="18" t="inlineStr">
        <is>
          <t>21935794K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CRUZ IBANEZ ESTEBAN ALFONSO</t>
        </is>
      </c>
      <c r="C20" s="18" t="inlineStr">
        <is>
          <t>220363104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ESPINOZA CASTRO MAXIMILIANO</t>
        </is>
      </c>
      <c r="C21" s="18" t="inlineStr">
        <is>
          <t>216928342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ESPINOZA SALINAS ELIOTH GASPAR</t>
        </is>
      </c>
      <c r="C22" s="18" t="inlineStr">
        <is>
          <t>21781829K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FLORES CRUZ FABIAN EDUARDO</t>
        </is>
      </c>
      <c r="C23" s="18" t="inlineStr">
        <is>
          <t>219746350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GALAZ YEVENES GABRIEL ALONSO</t>
        </is>
      </c>
      <c r="C24" s="18" t="inlineStr">
        <is>
          <t>219962126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GODOY GARAY MATIAS YERAL</t>
        </is>
      </c>
      <c r="C25" s="18" t="inlineStr">
        <is>
          <t>209312417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GONZALEZ ISAMIT MATIAS JESUS</t>
        </is>
      </c>
      <c r="C26" s="18" t="inlineStr">
        <is>
          <t>206374594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GONZALEZ REYES FRANCISCO JAVIER</t>
        </is>
      </c>
      <c r="C27" s="18" t="inlineStr">
        <is>
          <t>21585955K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HERERA VALDES CESAR JESUS</t>
        </is>
      </c>
      <c r="C28" s="18" t="inlineStr">
        <is>
          <t>215965783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HERIQUEZ GONZALEZ BENJAMIN CHRISTOPHER VALENTIN</t>
        </is>
      </c>
      <c r="C29" s="18" t="inlineStr">
        <is>
          <t>212088544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HERNANDEZ ACUNA BYRON ANDRES</t>
        </is>
      </c>
      <c r="C30" s="18" t="inlineStr">
        <is>
          <t>219449607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JARA RIQUELME BENJAMIN</t>
        </is>
      </c>
      <c r="C31" s="18" t="inlineStr">
        <is>
          <t>220845370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LETELIER DANUS RAFAEL ANTONIO</t>
        </is>
      </c>
      <c r="C32" s="18" t="inlineStr">
        <is>
          <t>213521799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LOBOS JARA PALOMA SELENA</t>
        </is>
      </c>
      <c r="C33" s="18" t="inlineStr">
        <is>
          <t>216233603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MACHUCA ANTUNEZ BENJAMIN</t>
        </is>
      </c>
      <c r="C34" s="18" t="inlineStr">
        <is>
          <t>214851695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MARDONES BURGOS JOSE TOMAS</t>
        </is>
      </c>
      <c r="C35" s="18" t="inlineStr">
        <is>
          <t>209185326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MARTUFFI RIOS VICENTE</t>
        </is>
      </c>
      <c r="C36" s="18" t="inlineStr">
        <is>
          <t>219710496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MENDEZ CASTILLO ADRIAN EDUARDO</t>
        </is>
      </c>
      <c r="C37" s="18" t="inlineStr">
        <is>
          <t>260331132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MORAGA FIGUEROA SEBASTIAN EDUARDO</t>
        </is>
      </c>
      <c r="C38" s="18" t="inlineStr">
        <is>
          <t>214054752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OLMEDO RAMIREZ CRISTOBAL PAULO ANDREE</t>
        </is>
      </c>
      <c r="C39" s="18" t="inlineStr">
        <is>
          <t>212545643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ORMELLO BUSTAMANTE MARTIN DANIEL</t>
        </is>
      </c>
      <c r="C40" s="18" t="inlineStr">
        <is>
          <t>214485923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ORTEGA PENA ANTONIO ALFREDO</t>
        </is>
      </c>
      <c r="C41" s="18" t="inlineStr">
        <is>
          <t>218072941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OSORIO ZUNIGA ALEXANDER ALFREDO VALENTIN</t>
        </is>
      </c>
      <c r="C42" s="18" t="inlineStr">
        <is>
          <t>214757575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RAMOS NORAMBUENA VICENTE IGNACIO</t>
        </is>
      </c>
      <c r="C43" s="18" t="inlineStr">
        <is>
          <t>202875777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SEPULVEDA MEZA MATIAS ALEJANDRO</t>
        </is>
      </c>
      <c r="C44" s="18" t="inlineStr">
        <is>
          <t>219130554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UGAZ BALCEDA STEPHANO</t>
        </is>
      </c>
      <c r="C45" s="18" t="inlineStr">
        <is>
          <t>218417795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VALDES VILLALOBOS VICENTE FRANCISCO</t>
        </is>
      </c>
      <c r="C46" s="18" t="inlineStr">
        <is>
          <t>213938800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VILLENA GONZALEZ MATIAS ANDRES</t>
        </is>
      </c>
      <c r="C47" s="18" t="inlineStr">
        <is>
          <t>215505189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ZAMORA ESPINOZA GERARDO ANDRES</t>
        </is>
      </c>
      <c r="C48" s="18" t="inlineStr">
        <is>
          <t>215614514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>
      <c r="A49" s="17" t="n">
        <v>40</v>
      </c>
      <c r="B49" s="18" t="inlineStr">
        <is>
          <t>ZUNIGA VARGAS NICOLAS EDUARDO</t>
        </is>
      </c>
      <c r="C49" s="18" t="inlineStr">
        <is>
          <t>219738579</t>
        </is>
      </c>
      <c r="D49" s="1" t="n"/>
      <c r="E49" s="28" t="n"/>
      <c r="F49" s="19" t="n"/>
      <c r="G49" s="19" t="n"/>
      <c r="H49" s="19" t="n"/>
      <c r="I49" s="19" t="n"/>
      <c r="J49" s="19" t="n"/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  <c r="X49" s="19" t="n"/>
      <c r="Y49" s="19" t="n"/>
      <c r="Z49" s="19" t="n"/>
      <c r="AA49" s="19" t="n"/>
      <c r="AB49" s="19" t="n"/>
      <c r="AC49" s="19" t="n"/>
      <c r="AD49" s="19" t="n"/>
      <c r="AE49" s="19" t="n"/>
      <c r="AF49" s="19" t="n"/>
      <c r="AG49" s="19" t="n"/>
      <c r="AH49" s="19" t="n"/>
      <c r="AI49" s="19" t="n"/>
      <c r="AJ49" s="19" t="n"/>
      <c r="AK49" s="19" t="n"/>
      <c r="AL49" s="19" t="n"/>
      <c r="AM49" s="19" t="n"/>
      <c r="AN49" s="19" t="n"/>
      <c r="AO49" s="19" t="n"/>
      <c r="AP49" s="19" t="n"/>
      <c r="AQ49" s="19" t="n"/>
      <c r="AR49" s="19" t="n"/>
      <c r="AS49" s="19" t="n"/>
      <c r="AT49" s="19" t="n"/>
      <c r="AU49" s="19" t="n"/>
      <c r="AV49" s="19" t="n"/>
      <c r="AW49" s="19" t="n"/>
      <c r="AX49" s="19" t="n"/>
      <c r="AY49" s="19" t="n"/>
      <c r="AZ49" s="19" t="n"/>
      <c r="BA49" s="19" t="n"/>
      <c r="BB49" s="19" t="n"/>
      <c r="BC49" s="19" t="n"/>
      <c r="BD49" s="19" t="n"/>
      <c r="BE49" s="19" t="n"/>
      <c r="BF49" s="19" t="n"/>
      <c r="BG49" s="19" t="n"/>
      <c r="BH49" s="19" t="n"/>
      <c r="BI49" s="19" t="n"/>
      <c r="BJ49" s="19" t="n"/>
      <c r="BK49" s="19" t="n"/>
      <c r="BL49" s="29" t="n"/>
      <c r="BM49">
        <f>IFERROR(VLOOKUP(BM$6,Hoja1!$F$2:$XFD$61,E49+4,FALSE),0)</f>
        <v/>
      </c>
      <c r="BN49">
        <f>IFERROR(VLOOKUP(BN$6,Hoja1!$F$2:$XFD$61,F49+4,FALSE),0)</f>
        <v/>
      </c>
      <c r="BO49">
        <f>IFERROR(VLOOKUP(BO$6,Hoja1!$F$2:$XFD$61,G49+4,FALSE),0)</f>
        <v/>
      </c>
      <c r="BP49">
        <f>IFERROR(VLOOKUP(BP$6,Hoja1!$F$2:$XFD$61,H49+4,FALSE),0)</f>
        <v/>
      </c>
      <c r="BQ49">
        <f>IFERROR(VLOOKUP(BQ$6,Hoja1!$F$2:$XFD$61,I49+4,FALSE),0)</f>
        <v/>
      </c>
      <c r="BR49">
        <f>IFERROR(VLOOKUP(BR$6,Hoja1!$F$2:$XFD$61,J49+4,FALSE),0)</f>
        <v/>
      </c>
      <c r="BS49">
        <f>IFERROR(VLOOKUP(BS$6,Hoja1!$F$2:$XFD$61,K49+4,FALSE),0)</f>
        <v/>
      </c>
      <c r="BT49">
        <f>IFERROR(VLOOKUP(BT$6,Hoja1!$F$2:$XFD$61,L49+4,FALSE),0)</f>
        <v/>
      </c>
      <c r="BU49">
        <f>IFERROR(VLOOKUP(BU$6,Hoja1!$F$2:$XFD$61,M49+4,FALSE),0)</f>
        <v/>
      </c>
      <c r="BV49">
        <f>IFERROR(VLOOKUP(BV$6,Hoja1!$F$2:$XFD$61,N49+4,FALSE),0)</f>
        <v/>
      </c>
      <c r="BW49">
        <f>IFERROR(VLOOKUP(BW$6,Hoja1!$F$2:$XFD$61,O49+4,FALSE),0)</f>
        <v/>
      </c>
      <c r="BX49">
        <f>IFERROR(VLOOKUP(BX$6,Hoja1!$F$2:$XFD$61,P49+4,FALSE),0)</f>
        <v/>
      </c>
      <c r="BY49">
        <f>IFERROR(VLOOKUP(BY$6,Hoja1!$F$2:$XFD$61,Q49+4,FALSE),0)</f>
        <v/>
      </c>
      <c r="BZ49">
        <f>IFERROR(VLOOKUP(BZ$6,Hoja1!$F$2:$XFD$61,R49+4,FALSE),0)</f>
        <v/>
      </c>
      <c r="CA49">
        <f>IFERROR(VLOOKUP(CA$6,Hoja1!$F$2:$XFD$61,S49+4,FALSE),0)</f>
        <v/>
      </c>
      <c r="CB49">
        <f>IFERROR(VLOOKUP(CB$6,Hoja1!$F$2:$XFD$61,T49+4,FALSE),0)</f>
        <v/>
      </c>
      <c r="CC49">
        <f>IFERROR(VLOOKUP(CC$6,Hoja1!$F$2:$XFD$61,U49+4,FALSE),0)</f>
        <v/>
      </c>
      <c r="CD49">
        <f>IFERROR(VLOOKUP(CD$6,Hoja1!$F$2:$XFD$61,V49+4,FALSE),0)</f>
        <v/>
      </c>
      <c r="CE49">
        <f>IFERROR(VLOOKUP(CE$6,Hoja1!$F$2:$XFD$61,W49+4,FALSE),0)</f>
        <v/>
      </c>
      <c r="CF49">
        <f>IFERROR(VLOOKUP(CF$6,Hoja1!$F$2:$XFD$61,X49+4,FALSE),0)</f>
        <v/>
      </c>
      <c r="CG49">
        <f>IFERROR(VLOOKUP(CG$6,Hoja1!$F$2:$XFD$61,Y49+4,FALSE),0)</f>
        <v/>
      </c>
      <c r="CH49">
        <f>IFERROR(VLOOKUP(CH$6,Hoja1!$F$2:$XFD$61,Z49+4,FALSE),0)</f>
        <v/>
      </c>
      <c r="CI49">
        <f>IFERROR(VLOOKUP(CI$6,Hoja1!$F$2:$XFD$61,AA49+4,FALSE),0)</f>
        <v/>
      </c>
      <c r="CJ49">
        <f>IFERROR(VLOOKUP(CJ$6,Hoja1!$F$2:$XFD$61,AB49+4,FALSE),0)</f>
        <v/>
      </c>
      <c r="CK49">
        <f>IFERROR(VLOOKUP(CK$6,Hoja1!$F$2:$XFD$61,AC49+4,FALSE),0)</f>
        <v/>
      </c>
      <c r="CL49">
        <f>IFERROR(VLOOKUP(CL$6,Hoja1!$F$2:$XFD$61,AD49+4,FALSE),0)</f>
        <v/>
      </c>
      <c r="CM49">
        <f>IFERROR(VLOOKUP(CM$6,Hoja1!$F$2:$XFD$61,AE49+4,FALSE),0)</f>
        <v/>
      </c>
      <c r="CN49">
        <f>IFERROR(VLOOKUP(CN$6,Hoja1!$F$2:$XFD$61,AF49+4,FALSE),0)</f>
        <v/>
      </c>
      <c r="CO49">
        <f>IFERROR(VLOOKUP(CO$6,Hoja1!$F$2:$XFD$61,AG49+4,FALSE),0)</f>
        <v/>
      </c>
      <c r="CP49">
        <f>IFERROR(VLOOKUP(CP$6,Hoja1!$F$2:$XFD$61,AH49+4,FALSE),0)</f>
        <v/>
      </c>
      <c r="CQ49">
        <f>IFERROR(VLOOKUP(CQ$6,Hoja1!$F$2:$XFD$61,AI49+4,FALSE),0)</f>
        <v/>
      </c>
      <c r="CR49">
        <f>IFERROR(VLOOKUP(CR$6,Hoja1!$F$2:$XFD$61,AJ49+4,FALSE),0)</f>
        <v/>
      </c>
      <c r="CS49">
        <f>IFERROR(VLOOKUP(CS$6,Hoja1!$F$2:$XFD$61,AK49+4,FALSE),0)</f>
        <v/>
      </c>
      <c r="CT49">
        <f>IFERROR(VLOOKUP(CT$6,Hoja1!$F$2:$XFD$61,AL49+4,FALSE),0)</f>
        <v/>
      </c>
      <c r="CU49">
        <f>IFERROR(VLOOKUP(CU$6,Hoja1!$F$2:$XFD$61,AM49+4,FALSE),0)</f>
        <v/>
      </c>
      <c r="CV49">
        <f>IFERROR(VLOOKUP(CV$6,Hoja1!$F$2:$XFD$61,AN49+4,FALSE),0)</f>
        <v/>
      </c>
      <c r="CW49">
        <f>IFERROR(VLOOKUP(CW$6,Hoja1!$F$2:$XFD$61,AO49+4,FALSE),0)</f>
        <v/>
      </c>
      <c r="CX49">
        <f>IFERROR(VLOOKUP(CX$6,Hoja1!$F$2:$XFD$61,AP49+4,FALSE),0)</f>
        <v/>
      </c>
      <c r="CY49">
        <f>IFERROR(VLOOKUP(CY$6,Hoja1!$F$2:$XFD$61,AQ49+4,FALSE),0)</f>
        <v/>
      </c>
      <c r="CZ49">
        <f>IFERROR(VLOOKUP(CZ$6,Hoja1!$F$2:$XFD$61,AR49+4,FALSE),0)</f>
        <v/>
      </c>
      <c r="DA49">
        <f>IFERROR(VLOOKUP(DA$6,Hoja1!$F$2:$XFD$61,AS49+4,FALSE),0)</f>
        <v/>
      </c>
      <c r="DB49">
        <f>IFERROR(VLOOKUP(DB$6,Hoja1!$F$2:$XFD$61,AT49+4,FALSE),0)</f>
        <v/>
      </c>
      <c r="DC49">
        <f>IFERROR(VLOOKUP(DC$6,Hoja1!$F$2:$XFD$61,AU49+4,FALSE),0)</f>
        <v/>
      </c>
      <c r="DD49">
        <f>IFERROR(VLOOKUP(DD$6,Hoja1!$F$2:$XFD$61,AV49+4,FALSE),0)</f>
        <v/>
      </c>
      <c r="DE49">
        <f>IFERROR(VLOOKUP(DE$6,Hoja1!$F$2:$XFD$61,AW49+4,FALSE),0)</f>
        <v/>
      </c>
      <c r="DF49">
        <f>IFERROR(VLOOKUP(DF$6,Hoja1!$F$2:$XFD$61,AX49+4,FALSE),0)</f>
        <v/>
      </c>
      <c r="DG49">
        <f>IFERROR(VLOOKUP(DG$6,Hoja1!$F$2:$XFD$61,AY49+4,FALSE),0)</f>
        <v/>
      </c>
      <c r="DH49">
        <f>IFERROR(VLOOKUP(DH$6,Hoja1!$F$2:$XFD$61,AZ49+4,FALSE),0)</f>
        <v/>
      </c>
      <c r="DI49">
        <f>IFERROR(VLOOKUP(DI$6,Hoja1!$F$2:$XFD$61,BA49+4,FALSE),0)</f>
        <v/>
      </c>
      <c r="DJ49">
        <f>IFERROR(VLOOKUP(DJ$6,Hoja1!$F$2:$XFD$61,BB49+4,FALSE),0)</f>
        <v/>
      </c>
      <c r="DK49">
        <f>IFERROR(VLOOKUP(DK$6,Hoja1!$F$2:$XFD$61,BC49+4,FALSE),0)</f>
        <v/>
      </c>
      <c r="DL49">
        <f>IFERROR(VLOOKUP(DL$6,Hoja1!$F$2:$XFD$61,BD49+4,FALSE),0)</f>
        <v/>
      </c>
      <c r="DM49">
        <f>IFERROR(VLOOKUP(DM$6,Hoja1!$F$2:$XFD$61,BE49+4,FALSE),0)</f>
        <v/>
      </c>
      <c r="DN49">
        <f>IFERROR(VLOOKUP(DN$6,Hoja1!$F$2:$XFD$61,BF49+4,FALSE),0)</f>
        <v/>
      </c>
      <c r="DO49">
        <f>IFERROR(VLOOKUP(DO$6,Hoja1!$F$2:$XFD$61,BG49+4,FALSE),0)</f>
        <v/>
      </c>
      <c r="DP49">
        <f>IFERROR(VLOOKUP(DP$6,Hoja1!$F$2:$XFD$61,BH49+4,FALSE),0)</f>
        <v/>
      </c>
      <c r="DQ49">
        <f>IFERROR(VLOOKUP(DQ$6,Hoja1!$F$2:$XFD$61,BI49+4,FALSE),0)</f>
        <v/>
      </c>
      <c r="DR49">
        <f>IFERROR(VLOOKUP(DR$6,Hoja1!$F$2:$XFD$61,BJ49+4,FALSE),0)</f>
        <v/>
      </c>
      <c r="DS49">
        <f>IFERROR(VLOOKUP(DS$6,Hoja1!$F$2:$XFD$61,BK49+4,FALSE),0)</f>
        <v/>
      </c>
      <c r="DT49">
        <f>IFERROR(VLOOKUP(DT$6,Hoja1!$F$2:$XFD$61,BL49+4,FALSE),0)</f>
        <v/>
      </c>
      <c r="DU49" s="15">
        <f>IF(COUNT(E49:BL49)=$DV$7,IF(D49="","indique grupo",SUM(BM49:DT49)),"")</f>
        <v/>
      </c>
      <c r="DV49" s="16">
        <f>IF(D49&lt;&gt;"",IF(DU49="","",IF(DU49&gt;=$DU$7*Hoja1!$E$2,4+3/($DU$7*(1-Hoja1!$E$2))*(DU49-$DU$7*Hoja1!$E$2),1+3/($DU$7*Hoja1!$E$2)*DU49)),DU49)</f>
        <v/>
      </c>
      <c r="DW49" s="47" t="b">
        <v>0</v>
      </c>
    </row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2024-05-03T14:03:09Z</dcterms:modified>
  <cp:lastModifiedBy>Leandro Gutierrez A.</cp:lastModifiedBy>
  <cp:lastPrinted>2012-11-30T22:55:58Z</cp:lastPrinted>
</cp:coreProperties>
</file>