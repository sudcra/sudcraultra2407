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AMOR PLAZA FRANCISCO IGNACIO ANDRES</t>
        </is>
      </c>
      <c r="C10" s="14" t="inlineStr">
        <is>
          <t>218197787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ARGUEDAS FUENZALIDA BEATRIZ</t>
        </is>
      </c>
      <c r="C11" s="18" t="inlineStr">
        <is>
          <t>19487541K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BASAEZ PEREZ ARLETTE ANNAIS</t>
        </is>
      </c>
      <c r="C12" s="14" t="inlineStr">
        <is>
          <t>212202266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BOLBARAN JOFRE FELIPE REINALDO</t>
        </is>
      </c>
      <c r="C13" s="18" t="inlineStr">
        <is>
          <t>218849377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BUSTAMANTE AGUILERA ALAIN FERNANDO</t>
        </is>
      </c>
      <c r="C14" s="14" t="inlineStr">
        <is>
          <t>159747409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CARRENO MUNOZ KEVIN ANDRES</t>
        </is>
      </c>
      <c r="C15" s="14" t="inlineStr">
        <is>
          <t>197725559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CATALAN HUERQUE CAMILO ENRIQUE</t>
        </is>
      </c>
      <c r="C16" s="18" t="inlineStr">
        <is>
          <t>171611652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CEREZO MORA MARIO ALEJANDRO</t>
        </is>
      </c>
      <c r="C17" s="14" t="inlineStr">
        <is>
          <t>161053163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DAZAROLA ARAVENA SERGIO GABRIEL</t>
        </is>
      </c>
      <c r="C18" s="14" t="inlineStr">
        <is>
          <t>150970628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DIAZ MUNOZ CRISTOBAL</t>
        </is>
      </c>
      <c r="C19" s="18" t="inlineStr">
        <is>
          <t>204455457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DONOSO RAMIREZ JUSTIN ANDRES</t>
        </is>
      </c>
      <c r="C20" s="18" t="inlineStr">
        <is>
          <t>220867854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ESPINOZA ARAYA NICOLE STEPHANY</t>
        </is>
      </c>
      <c r="C21" s="18" t="inlineStr">
        <is>
          <t>167769055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ESTAY NAVARRO CHRISTIAN BASTIAN ALEJANDRO</t>
        </is>
      </c>
      <c r="C22" s="18" t="inlineStr">
        <is>
          <t>214052717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FUENTEALBA HERRERA LORENZO SEBASTIAN</t>
        </is>
      </c>
      <c r="C23" s="18" t="inlineStr">
        <is>
          <t>174786208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GODOY CASTRO CRISTIAN JAVIER</t>
        </is>
      </c>
      <c r="C24" s="18" t="inlineStr">
        <is>
          <t>211633883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GUERRA CUADRA JAVIERA ANAIS</t>
        </is>
      </c>
      <c r="C25" s="18" t="inlineStr">
        <is>
          <t>218266320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GUZMAN DELGADO JAVIER ALEXANDER</t>
        </is>
      </c>
      <c r="C26" s="18" t="inlineStr">
        <is>
          <t>219952341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HIDALGO DURAN ALEXANDER ARTURO</t>
        </is>
      </c>
      <c r="C27" s="18" t="inlineStr">
        <is>
          <t>216213912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LANTANO VEAS PIETRO ANTONIO</t>
        </is>
      </c>
      <c r="C28" s="18" t="inlineStr">
        <is>
          <t>193380581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LOPEZ OLIVARES IGNACIO</t>
        </is>
      </c>
      <c r="C29" s="18" t="inlineStr">
        <is>
          <t>189164424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MEZA ITURRIETA RICARDO ANDRES</t>
        </is>
      </c>
      <c r="C30" s="18" t="inlineStr">
        <is>
          <t>213036475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MOLINA SILVA FELIPE ANTONIO</t>
        </is>
      </c>
      <c r="C31" s="18" t="inlineStr">
        <is>
          <t>209238012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MORA GALAZ BENJAMIN ALFONSO</t>
        </is>
      </c>
      <c r="C32" s="18" t="inlineStr">
        <is>
          <t>211893176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NAMUR RODRIGUEZ BYRON ESTEBAN</t>
        </is>
      </c>
      <c r="C33" s="18" t="inlineStr">
        <is>
          <t>214933160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ORREGO MOYA DIEGO IGNACIO</t>
        </is>
      </c>
      <c r="C34" s="18" t="inlineStr">
        <is>
          <t>201720095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OSORIO ROJAS RICARDO ANTONIO</t>
        </is>
      </c>
      <c r="C35" s="18" t="inlineStr">
        <is>
          <t>186190874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PARRAGUEZ ROJAS ALEXIS</t>
        </is>
      </c>
      <c r="C36" s="18" t="inlineStr">
        <is>
          <t>209801671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PENA FLORES MELANY</t>
        </is>
      </c>
      <c r="C37" s="18" t="inlineStr">
        <is>
          <t>209717603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PEREZ PEREZ MARIO NICOLAS</t>
        </is>
      </c>
      <c r="C38" s="18" t="inlineStr">
        <is>
          <t>193402771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PESSINI FERNANDEZ ITALO</t>
        </is>
      </c>
      <c r="C39" s="18" t="inlineStr">
        <is>
          <t>212298751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POBLETE RUBIO PATRICIO ANDRES</t>
        </is>
      </c>
      <c r="C40" s="18" t="inlineStr">
        <is>
          <t>201716411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PONTIO VIDAL JONATHAN CRISTIAN</t>
        </is>
      </c>
      <c r="C41" s="18" t="inlineStr">
        <is>
          <t>182727415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RAMIREZ COVARRUBIAS SEBASTIAN ALFONSO ELIAS</t>
        </is>
      </c>
      <c r="C42" s="18" t="inlineStr">
        <is>
          <t>186178394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REYES OSORIO FRANCHESCA SOLEDAD</t>
        </is>
      </c>
      <c r="C43" s="18" t="inlineStr">
        <is>
          <t>214926296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RISCO VERA CRISTOPHER ANDREWS</t>
        </is>
      </c>
      <c r="C44" s="18" t="inlineStr">
        <is>
          <t>204790841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SALAZAR ZEPEDA DARIEN PATRICKS</t>
        </is>
      </c>
      <c r="C45" s="18" t="inlineStr">
        <is>
          <t>209124785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SALCEDO RIVEROS MATIAS FRANCISCO</t>
        </is>
      </c>
      <c r="C46" s="18" t="inlineStr">
        <is>
          <t>194888171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SARAVIA CASTILLO WILLIAMS ALEXIS</t>
        </is>
      </c>
      <c r="C47" s="18" t="inlineStr">
        <is>
          <t>204082162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SEGURA GONZALEZ DIANA MIA</t>
        </is>
      </c>
      <c r="C48" s="18" t="inlineStr">
        <is>
          <t>217505941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SILVA MACCHIAVELLO ALEXANDER CHRISTOPHER</t>
        </is>
      </c>
      <c r="C49" s="18" t="inlineStr">
        <is>
          <t>203585233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SOTO TELLO AJANAY MATIAS</t>
        </is>
      </c>
      <c r="C50" s="18" t="inlineStr">
        <is>
          <t>216676254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TOLEDO BARRIA BRAYAN</t>
        </is>
      </c>
      <c r="C51" s="18" t="inlineStr">
        <is>
          <t>199790234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VARGAS DELGADO GASTON ISMAEL</t>
        </is>
      </c>
      <c r="C52" s="18" t="inlineStr">
        <is>
          <t>207790745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IFERROR(VLOOKUP(BT$6,Hoja1!$F$2:$XFD$61,L52+4,FALSE),0)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>
      <c r="A53" s="17" t="n">
        <v>44</v>
      </c>
      <c r="B53" s="18" t="inlineStr">
        <is>
          <t>ZAMORANO ESPINOLA ANDRES IVAN</t>
        </is>
      </c>
      <c r="C53" s="18" t="inlineStr">
        <is>
          <t>214480964</t>
        </is>
      </c>
      <c r="D53" s="1" t="n"/>
      <c r="E53" s="28" t="n"/>
      <c r="F53" s="19" t="n"/>
      <c r="G53" s="19" t="n"/>
      <c r="H53" s="19" t="n"/>
      <c r="I53" s="19" t="n"/>
      <c r="J53" s="19" t="n"/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  <c r="X53" s="19" t="n"/>
      <c r="Y53" s="19" t="n"/>
      <c r="Z53" s="19" t="n"/>
      <c r="AA53" s="19" t="n"/>
      <c r="AB53" s="19" t="n"/>
      <c r="AC53" s="19" t="n"/>
      <c r="AD53" s="19" t="n"/>
      <c r="AE53" s="19" t="n"/>
      <c r="AF53" s="19" t="n"/>
      <c r="AG53" s="19" t="n"/>
      <c r="AH53" s="19" t="n"/>
      <c r="AI53" s="19" t="n"/>
      <c r="AJ53" s="19" t="n"/>
      <c r="AK53" s="19" t="n"/>
      <c r="AL53" s="19" t="n"/>
      <c r="AM53" s="19" t="n"/>
      <c r="AN53" s="19" t="n"/>
      <c r="AO53" s="19" t="n"/>
      <c r="AP53" s="19" t="n"/>
      <c r="AQ53" s="19" t="n"/>
      <c r="AR53" s="19" t="n"/>
      <c r="AS53" s="19" t="n"/>
      <c r="AT53" s="19" t="n"/>
      <c r="AU53" s="19" t="n"/>
      <c r="AV53" s="19" t="n"/>
      <c r="AW53" s="19" t="n"/>
      <c r="AX53" s="19" t="n"/>
      <c r="AY53" s="19" t="n"/>
      <c r="AZ53" s="19" t="n"/>
      <c r="BA53" s="19" t="n"/>
      <c r="BB53" s="19" t="n"/>
      <c r="BC53" s="19" t="n"/>
      <c r="BD53" s="19" t="n"/>
      <c r="BE53" s="19" t="n"/>
      <c r="BF53" s="19" t="n"/>
      <c r="BG53" s="19" t="n"/>
      <c r="BH53" s="19" t="n"/>
      <c r="BI53" s="19" t="n"/>
      <c r="BJ53" s="19" t="n"/>
      <c r="BK53" s="19" t="n"/>
      <c r="BL53" s="29" t="n"/>
      <c r="BM53">
        <f>IFERROR(VLOOKUP(BM$6,Hoja1!$F$2:$XFD$61,E53+4,FALSE),0)</f>
        <v/>
      </c>
      <c r="BN53">
        <f>IFERROR(VLOOKUP(BN$6,Hoja1!$F$2:$XFD$61,F53+4,FALSE),0)</f>
        <v/>
      </c>
      <c r="BO53">
        <f>IFERROR(VLOOKUP(BO$6,Hoja1!$F$2:$XFD$61,G53+4,FALSE),0)</f>
        <v/>
      </c>
      <c r="BP53">
        <f>IFERROR(VLOOKUP(BP$6,Hoja1!$F$2:$XFD$61,H53+4,FALSE),0)</f>
        <v/>
      </c>
      <c r="BQ53">
        <f>IFERROR(VLOOKUP(BQ$6,Hoja1!$F$2:$XFD$61,I53+4,FALSE),0)</f>
        <v/>
      </c>
      <c r="BR53">
        <f>IFERROR(VLOOKUP(BR$6,Hoja1!$F$2:$XFD$61,J53+4,FALSE),0)</f>
        <v/>
      </c>
      <c r="BS53">
        <f>IFERROR(VLOOKUP(BS$6,Hoja1!$F$2:$XFD$61,K53+4,FALSE),0)</f>
        <v/>
      </c>
      <c r="BT53">
        <f>IFERROR(VLOOKUP(BT$6,Hoja1!$F$2:$XFD$61,L53+4,FALSE),0)</f>
        <v/>
      </c>
      <c r="BU53">
        <f>IFERROR(VLOOKUP(BU$6,Hoja1!$F$2:$XFD$61,M53+4,FALSE),0)</f>
        <v/>
      </c>
      <c r="BV53">
        <f>IFERROR(VLOOKUP(BV$6,Hoja1!$F$2:$XFD$61,N53+4,FALSE),0)</f>
        <v/>
      </c>
      <c r="BW53">
        <f>IFERROR(VLOOKUP(BW$6,Hoja1!$F$2:$XFD$61,O53+4,FALSE),0)</f>
        <v/>
      </c>
      <c r="BX53">
        <f>IFERROR(VLOOKUP(BX$6,Hoja1!$F$2:$XFD$61,P53+4,FALSE),0)</f>
        <v/>
      </c>
      <c r="BY53">
        <f>IFERROR(VLOOKUP(BY$6,Hoja1!$F$2:$XFD$61,Q53+4,FALSE),0)</f>
        <v/>
      </c>
      <c r="BZ53">
        <f>IFERROR(VLOOKUP(BZ$6,Hoja1!$F$2:$XFD$61,R53+4,FALSE),0)</f>
        <v/>
      </c>
      <c r="CA53">
        <f>IFERROR(VLOOKUP(CA$6,Hoja1!$F$2:$XFD$61,S53+4,FALSE),0)</f>
        <v/>
      </c>
      <c r="CB53">
        <f>IFERROR(VLOOKUP(CB$6,Hoja1!$F$2:$XFD$61,T53+4,FALSE),0)</f>
        <v/>
      </c>
      <c r="CC53">
        <f>IFERROR(VLOOKUP(CC$6,Hoja1!$F$2:$XFD$61,U53+4,FALSE),0)</f>
        <v/>
      </c>
      <c r="CD53">
        <f>IFERROR(VLOOKUP(CD$6,Hoja1!$F$2:$XFD$61,V53+4,FALSE),0)</f>
        <v/>
      </c>
      <c r="CE53">
        <f>IFERROR(VLOOKUP(CE$6,Hoja1!$F$2:$XFD$61,W53+4,FALSE),0)</f>
        <v/>
      </c>
      <c r="CF53">
        <f>IFERROR(VLOOKUP(CF$6,Hoja1!$F$2:$XFD$61,X53+4,FALSE),0)</f>
        <v/>
      </c>
      <c r="CG53">
        <f>IFERROR(VLOOKUP(CG$6,Hoja1!$F$2:$XFD$61,Y53+4,FALSE),0)</f>
        <v/>
      </c>
      <c r="CH53">
        <f>IFERROR(VLOOKUP(CH$6,Hoja1!$F$2:$XFD$61,Z53+4,FALSE),0)</f>
        <v/>
      </c>
      <c r="CI53">
        <f>IFERROR(VLOOKUP(CI$6,Hoja1!$F$2:$XFD$61,AA53+4,FALSE),0)</f>
        <v/>
      </c>
      <c r="CJ53">
        <f>IFERROR(VLOOKUP(CJ$6,Hoja1!$F$2:$XFD$61,AB53+4,FALSE),0)</f>
        <v/>
      </c>
      <c r="CK53">
        <f>IFERROR(VLOOKUP(CK$6,Hoja1!$F$2:$XFD$61,AC53+4,FALSE),0)</f>
        <v/>
      </c>
      <c r="CL53">
        <f>IFERROR(VLOOKUP(CL$6,Hoja1!$F$2:$XFD$61,AD53+4,FALSE),0)</f>
        <v/>
      </c>
      <c r="CM53">
        <f>IFERROR(VLOOKUP(CM$6,Hoja1!$F$2:$XFD$61,AE53+4,FALSE),0)</f>
        <v/>
      </c>
      <c r="CN53">
        <f>IFERROR(VLOOKUP(CN$6,Hoja1!$F$2:$XFD$61,AF53+4,FALSE),0)</f>
        <v/>
      </c>
      <c r="CO53">
        <f>IFERROR(VLOOKUP(CO$6,Hoja1!$F$2:$XFD$61,AG53+4,FALSE),0)</f>
        <v/>
      </c>
      <c r="CP53">
        <f>IFERROR(VLOOKUP(CP$6,Hoja1!$F$2:$XFD$61,AH53+4,FALSE),0)</f>
        <v/>
      </c>
      <c r="CQ53">
        <f>IFERROR(VLOOKUP(CQ$6,Hoja1!$F$2:$XFD$61,AI53+4,FALSE),0)</f>
        <v/>
      </c>
      <c r="CR53">
        <f>IFERROR(VLOOKUP(CR$6,Hoja1!$F$2:$XFD$61,AJ53+4,FALSE),0)</f>
        <v/>
      </c>
      <c r="CS53">
        <f>IFERROR(VLOOKUP(CS$6,Hoja1!$F$2:$XFD$61,AK53+4,FALSE),0)</f>
        <v/>
      </c>
      <c r="CT53">
        <f>IFERROR(VLOOKUP(CT$6,Hoja1!$F$2:$XFD$61,AL53+4,FALSE),0)</f>
        <v/>
      </c>
      <c r="CU53">
        <f>IFERROR(VLOOKUP(CU$6,Hoja1!$F$2:$XFD$61,AM53+4,FALSE),0)</f>
        <v/>
      </c>
      <c r="CV53">
        <f>IFERROR(VLOOKUP(CV$6,Hoja1!$F$2:$XFD$61,AN53+4,FALSE),0)</f>
        <v/>
      </c>
      <c r="CW53">
        <f>IFERROR(VLOOKUP(CW$6,Hoja1!$F$2:$XFD$61,AO53+4,FALSE),0)</f>
        <v/>
      </c>
      <c r="CX53">
        <f>IFERROR(VLOOKUP(CX$6,Hoja1!$F$2:$XFD$61,AP53+4,FALSE),0)</f>
        <v/>
      </c>
      <c r="CY53">
        <f>IFERROR(VLOOKUP(CY$6,Hoja1!$F$2:$XFD$61,AQ53+4,FALSE),0)</f>
        <v/>
      </c>
      <c r="CZ53">
        <f>IFERROR(VLOOKUP(CZ$6,Hoja1!$F$2:$XFD$61,AR53+4,FALSE),0)</f>
        <v/>
      </c>
      <c r="DA53">
        <f>IFERROR(VLOOKUP(DA$6,Hoja1!$F$2:$XFD$61,AS53+4,FALSE),0)</f>
        <v/>
      </c>
      <c r="DB53">
        <f>IFERROR(VLOOKUP(DB$6,Hoja1!$F$2:$XFD$61,AT53+4,FALSE),0)</f>
        <v/>
      </c>
      <c r="DC53">
        <f>IFERROR(VLOOKUP(DC$6,Hoja1!$F$2:$XFD$61,AU53+4,FALSE),0)</f>
        <v/>
      </c>
      <c r="DD53">
        <f>IFERROR(VLOOKUP(DD$6,Hoja1!$F$2:$XFD$61,AV53+4,FALSE),0)</f>
        <v/>
      </c>
      <c r="DE53">
        <f>IFERROR(VLOOKUP(DE$6,Hoja1!$F$2:$XFD$61,AW53+4,FALSE),0)</f>
        <v/>
      </c>
      <c r="DF53">
        <f>IFERROR(VLOOKUP(DF$6,Hoja1!$F$2:$XFD$61,AX53+4,FALSE),0)</f>
        <v/>
      </c>
      <c r="DG53">
        <f>IFERROR(VLOOKUP(DG$6,Hoja1!$F$2:$XFD$61,AY53+4,FALSE),0)</f>
        <v/>
      </c>
      <c r="DH53">
        <f>IFERROR(VLOOKUP(DH$6,Hoja1!$F$2:$XFD$61,AZ53+4,FALSE),0)</f>
        <v/>
      </c>
      <c r="DI53">
        <f>IFERROR(VLOOKUP(DI$6,Hoja1!$F$2:$XFD$61,BA53+4,FALSE),0)</f>
        <v/>
      </c>
      <c r="DJ53">
        <f>IFERROR(VLOOKUP(DJ$6,Hoja1!$F$2:$XFD$61,BB53+4,FALSE),0)</f>
        <v/>
      </c>
      <c r="DK53">
        <f>IFERROR(VLOOKUP(DK$6,Hoja1!$F$2:$XFD$61,BC53+4,FALSE),0)</f>
        <v/>
      </c>
      <c r="DL53">
        <f>IFERROR(VLOOKUP(DL$6,Hoja1!$F$2:$XFD$61,BD53+4,FALSE),0)</f>
        <v/>
      </c>
      <c r="DM53">
        <f>IFERROR(VLOOKUP(DM$6,Hoja1!$F$2:$XFD$61,BE53+4,FALSE),0)</f>
        <v/>
      </c>
      <c r="DN53">
        <f>IFERROR(VLOOKUP(DN$6,Hoja1!$F$2:$XFD$61,BF53+4,FALSE),0)</f>
        <v/>
      </c>
      <c r="DO53">
        <f>IFERROR(VLOOKUP(DO$6,Hoja1!$F$2:$XFD$61,BG53+4,FALSE),0)</f>
        <v/>
      </c>
      <c r="DP53">
        <f>IFERROR(VLOOKUP(DP$6,Hoja1!$F$2:$XFD$61,BH53+4,FALSE),0)</f>
        <v/>
      </c>
      <c r="DQ53">
        <f>IFERROR(VLOOKUP(DQ$6,Hoja1!$F$2:$XFD$61,BI53+4,FALSE),0)</f>
        <v/>
      </c>
      <c r="DR53">
        <f>IFERROR(VLOOKUP(DR$6,Hoja1!$F$2:$XFD$61,BJ53+4,FALSE),0)</f>
        <v/>
      </c>
      <c r="DS53">
        <f>IFERROR(VLOOKUP(DS$6,Hoja1!$F$2:$XFD$61,BK53+4,FALSE),0)</f>
        <v/>
      </c>
      <c r="DT53">
        <f>IFERROR(VLOOKUP(DT$6,Hoja1!$F$2:$XFD$61,BL53+4,FALSE),0)</f>
        <v/>
      </c>
      <c r="DU53" s="15">
        <f>IF(COUNT(E53:BL53)=$DV$7,IF(D53="","indique grupo",SUM(BM53:DT53)),"")</f>
        <v/>
      </c>
      <c r="DV53" s="16">
        <f>IF(D53&lt;&gt;"",IF(DU53="","",IF(DU53&gt;=$DU$7*Hoja1!$E$2,4+3/($DU$7*(1-Hoja1!$E$2))*(DU53-$DU$7*Hoja1!$E$2),1+3/($DU$7*Hoja1!$E$2)*DU53)),DU53)</f>
        <v/>
      </c>
      <c r="DW53" s="47" t="b">
        <v>0</v>
      </c>
    </row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2024-05-03T14:05:55Z</dcterms:modified>
  <cp:lastModifiedBy>Leandro Gutierrez A.</cp:lastModifiedBy>
  <cp:lastPrinted>2012-11-30T22:55:58Z</cp:lastPrinted>
</cp:coreProperties>
</file>