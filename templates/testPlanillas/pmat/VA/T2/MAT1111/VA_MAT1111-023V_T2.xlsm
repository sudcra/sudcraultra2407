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52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AHUMADA CACERES BASTIAN EDUARDO</t>
        </is>
      </c>
      <c r="C10" s="14" t="inlineStr">
        <is>
          <t>217823986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ALARCON VALENZUELA BRYAM ANDRES</t>
        </is>
      </c>
      <c r="C11" s="18" t="inlineStr">
        <is>
          <t>175690743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ANATIBIA AHUMADA JUAN ALBERTO</t>
        </is>
      </c>
      <c r="C12" s="14" t="inlineStr">
        <is>
          <t>174805679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ARAYA ESPINOZA MATIAS  DANILO</t>
        </is>
      </c>
      <c r="C13" s="18" t="inlineStr">
        <is>
          <t>220693392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ASTUDILLO ASTUDILLO MAURICIO ALEJANDRO</t>
        </is>
      </c>
      <c r="C14" s="14" t="inlineStr">
        <is>
          <t>179627353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BALLADARES LEYTON ARLETTE MONSERRAT</t>
        </is>
      </c>
      <c r="C15" s="14" t="inlineStr">
        <is>
          <t>21742996K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BRAVO PEROJEMAUSKE JAIME PATRICIO LIAN</t>
        </is>
      </c>
      <c r="C16" s="18" t="inlineStr">
        <is>
          <t>219325584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CARIAGA ROJAS PAULO ANDRES</t>
        </is>
      </c>
      <c r="C17" s="14" t="inlineStr">
        <is>
          <t>163319403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CARRENO VERGARA ENRIQUE MANUEL</t>
        </is>
      </c>
      <c r="C18" s="14" t="inlineStr">
        <is>
          <t>219532008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CASTRO OLIVA BENJAMIN GABRIEL</t>
        </is>
      </c>
      <c r="C19" s="18" t="inlineStr">
        <is>
          <t>219603207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CHAVEZ ARMIJO KIMBERLY DANAE</t>
        </is>
      </c>
      <c r="C20" s="18" t="inlineStr">
        <is>
          <t>220049132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DEL CANTO REBOLLEDO GABRIEL SEGUNDO</t>
        </is>
      </c>
      <c r="C21" s="18" t="inlineStr">
        <is>
          <t>220335984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DONOSO VARGAS SEBASTIAN ANDRES</t>
        </is>
      </c>
      <c r="C22" s="18" t="inlineStr">
        <is>
          <t>218138713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ESMAR GONZALEZ JOSE IGNACIO</t>
        </is>
      </c>
      <c r="C23" s="18" t="inlineStr">
        <is>
          <t>200564766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FLORES MARTINEZ KARLA</t>
        </is>
      </c>
      <c r="C24" s="18" t="inlineStr">
        <is>
          <t>194714572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FUENTES ROMO IOSHUA ANGELUS</t>
        </is>
      </c>
      <c r="C25" s="18" t="inlineStr">
        <is>
          <t>220590623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GALVEZ ASTUDILLO ALEJANDRO ANTONIO</t>
        </is>
      </c>
      <c r="C26" s="18" t="inlineStr">
        <is>
          <t>217228670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GARRIDO LEIVA GASTON</t>
        </is>
      </c>
      <c r="C27" s="18" t="inlineStr">
        <is>
          <t>210653449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GOMEZ SANCHEZ MATIAS JESUS</t>
        </is>
      </c>
      <c r="C28" s="18" t="inlineStr">
        <is>
          <t>209178400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GONZALEZ CISTERNAS KEVIN IGNACIO</t>
        </is>
      </c>
      <c r="C29" s="18" t="inlineStr">
        <is>
          <t>18999382K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GONZALEZ PONCE FERNANDO ANDRES</t>
        </is>
      </c>
      <c r="C30" s="18" t="inlineStr">
        <is>
          <t>21674716K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HERNANDEZ FERNANDEZ ALAN RICARDO</t>
        </is>
      </c>
      <c r="C31" s="18" t="inlineStr">
        <is>
          <t>219465114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HERRERA BUSTAMANTE AARON DE JESUS</t>
        </is>
      </c>
      <c r="C32" s="18" t="inlineStr">
        <is>
          <t>178329375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JIMENEZ ROJAS RODRIGO JAVIER</t>
        </is>
      </c>
      <c r="C33" s="18" t="inlineStr">
        <is>
          <t>164863239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LEPE VASQUEZ JOSE IGNACIO</t>
        </is>
      </c>
      <c r="C34" s="18" t="inlineStr">
        <is>
          <t>197756721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LIBERONA FUENTES DEREK IVAN</t>
        </is>
      </c>
      <c r="C35" s="18" t="inlineStr">
        <is>
          <t>217530873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MALDONADO ARAVENA GYVENS EDWARD</t>
        </is>
      </c>
      <c r="C36" s="18" t="inlineStr">
        <is>
          <t>220195139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MORALES ALVAREZ LEONARDO</t>
        </is>
      </c>
      <c r="C37" s="18" t="inlineStr">
        <is>
          <t>85667637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NAMUR CARVAJAL DAUD ABDUL</t>
        </is>
      </c>
      <c r="C38" s="18" t="inlineStr">
        <is>
          <t>132312060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PALMA CERRUTI ALBERTO RODRIGO</t>
        </is>
      </c>
      <c r="C39" s="18" t="inlineStr">
        <is>
          <t>196148590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>
      <c r="A40" s="17" t="n">
        <v>31</v>
      </c>
      <c r="B40" s="18" t="inlineStr">
        <is>
          <t>QUIROZ FUENTES JOSE LEONARDO</t>
        </is>
      </c>
      <c r="C40" s="18" t="inlineStr">
        <is>
          <t>174794626</t>
        </is>
      </c>
      <c r="D40" s="1" t="n"/>
      <c r="E40" s="28" t="n"/>
      <c r="F40" s="19" t="n"/>
      <c r="G40" s="19" t="n"/>
      <c r="H40" s="19" t="n"/>
      <c r="I40" s="19" t="n"/>
      <c r="J40" s="19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  <c r="X40" s="19" t="n"/>
      <c r="Y40" s="19" t="n"/>
      <c r="Z40" s="19" t="n"/>
      <c r="AA40" s="19" t="n"/>
      <c r="AB40" s="19" t="n"/>
      <c r="AC40" s="19" t="n"/>
      <c r="AD40" s="19" t="n"/>
      <c r="AE40" s="19" t="n"/>
      <c r="AF40" s="19" t="n"/>
      <c r="AG40" s="19" t="n"/>
      <c r="AH40" s="19" t="n"/>
      <c r="AI40" s="19" t="n"/>
      <c r="AJ40" s="19" t="n"/>
      <c r="AK40" s="19" t="n"/>
      <c r="AL40" s="19" t="n"/>
      <c r="AM40" s="19" t="n"/>
      <c r="AN40" s="19" t="n"/>
      <c r="AO40" s="19" t="n"/>
      <c r="AP40" s="19" t="n"/>
      <c r="AQ40" s="19" t="n"/>
      <c r="AR40" s="19" t="n"/>
      <c r="AS40" s="19" t="n"/>
      <c r="AT40" s="19" t="n"/>
      <c r="AU40" s="19" t="n"/>
      <c r="AV40" s="19" t="n"/>
      <c r="AW40" s="19" t="n"/>
      <c r="AX40" s="19" t="n"/>
      <c r="AY40" s="19" t="n"/>
      <c r="AZ40" s="19" t="n"/>
      <c r="BA40" s="19" t="n"/>
      <c r="BB40" s="19" t="n"/>
      <c r="BC40" s="19" t="n"/>
      <c r="BD40" s="19" t="n"/>
      <c r="BE40" s="19" t="n"/>
      <c r="BF40" s="19" t="n"/>
      <c r="BG40" s="19" t="n"/>
      <c r="BH40" s="19" t="n"/>
      <c r="BI40" s="19" t="n"/>
      <c r="BJ40" s="19" t="n"/>
      <c r="BK40" s="19" t="n"/>
      <c r="BL40" s="29" t="n"/>
      <c r="BM40">
        <f>IFERROR(VLOOKUP(BM$6,Hoja1!$F$2:$XFD$61,E40+4,FALSE),0)</f>
        <v/>
      </c>
      <c r="BN40">
        <f>IFERROR(VLOOKUP(BN$6,Hoja1!$F$2:$XFD$61,F40+4,FALSE),0)</f>
        <v/>
      </c>
      <c r="BO40">
        <f>IFERROR(VLOOKUP(BO$6,Hoja1!$F$2:$XFD$61,G40+4,FALSE),0)</f>
        <v/>
      </c>
      <c r="BP40">
        <f>IFERROR(VLOOKUP(BP$6,Hoja1!$F$2:$XFD$61,H40+4,FALSE),0)</f>
        <v/>
      </c>
      <c r="BQ40">
        <f>IFERROR(VLOOKUP(BQ$6,Hoja1!$F$2:$XFD$61,I40+4,FALSE),0)</f>
        <v/>
      </c>
      <c r="BR40">
        <f>IFERROR(VLOOKUP(BR$6,Hoja1!$F$2:$XFD$61,J40+4,FALSE),0)</f>
        <v/>
      </c>
      <c r="BS40">
        <f>IFERROR(VLOOKUP(BS$6,Hoja1!$F$2:$XFD$61,K40+4,FALSE),0)</f>
        <v/>
      </c>
      <c r="BT40">
        <f>IFERROR(VLOOKUP(BT$6,Hoja1!$F$2:$XFD$61,L40+4,FALSE),0)</f>
        <v/>
      </c>
      <c r="BU40">
        <f>IFERROR(VLOOKUP(BU$6,Hoja1!$F$2:$XFD$61,M40+4,FALSE),0)</f>
        <v/>
      </c>
      <c r="BV40">
        <f>IFERROR(VLOOKUP(BV$6,Hoja1!$F$2:$XFD$61,N40+4,FALSE),0)</f>
        <v/>
      </c>
      <c r="BW40">
        <f>IFERROR(VLOOKUP(BW$6,Hoja1!$F$2:$XFD$61,O40+4,FALSE),0)</f>
        <v/>
      </c>
      <c r="BX40">
        <f>IFERROR(VLOOKUP(BX$6,Hoja1!$F$2:$XFD$61,P40+4,FALSE),0)</f>
        <v/>
      </c>
      <c r="BY40">
        <f>IFERROR(VLOOKUP(BY$6,Hoja1!$F$2:$XFD$61,Q40+4,FALSE),0)</f>
        <v/>
      </c>
      <c r="BZ40">
        <f>IFERROR(VLOOKUP(BZ$6,Hoja1!$F$2:$XFD$61,R40+4,FALSE),0)</f>
        <v/>
      </c>
      <c r="CA40">
        <f>IFERROR(VLOOKUP(CA$6,Hoja1!$F$2:$XFD$61,S40+4,FALSE),0)</f>
        <v/>
      </c>
      <c r="CB40">
        <f>IFERROR(VLOOKUP(CB$6,Hoja1!$F$2:$XFD$61,T40+4,FALSE),0)</f>
        <v/>
      </c>
      <c r="CC40">
        <f>IFERROR(VLOOKUP(CC$6,Hoja1!$F$2:$XFD$61,U40+4,FALSE),0)</f>
        <v/>
      </c>
      <c r="CD40">
        <f>IFERROR(VLOOKUP(CD$6,Hoja1!$F$2:$XFD$61,V40+4,FALSE),0)</f>
        <v/>
      </c>
      <c r="CE40">
        <f>IFERROR(VLOOKUP(CE$6,Hoja1!$F$2:$XFD$61,W40+4,FALSE),0)</f>
        <v/>
      </c>
      <c r="CF40">
        <f>IFERROR(VLOOKUP(CF$6,Hoja1!$F$2:$XFD$61,X40+4,FALSE),0)</f>
        <v/>
      </c>
      <c r="CG40">
        <f>IFERROR(VLOOKUP(CG$6,Hoja1!$F$2:$XFD$61,Y40+4,FALSE),0)</f>
        <v/>
      </c>
      <c r="CH40">
        <f>IFERROR(VLOOKUP(CH$6,Hoja1!$F$2:$XFD$61,Z40+4,FALSE),0)</f>
        <v/>
      </c>
      <c r="CI40">
        <f>IFERROR(VLOOKUP(CI$6,Hoja1!$F$2:$XFD$61,AA40+4,FALSE),0)</f>
        <v/>
      </c>
      <c r="CJ40">
        <f>IFERROR(VLOOKUP(CJ$6,Hoja1!$F$2:$XFD$61,AB40+4,FALSE),0)</f>
        <v/>
      </c>
      <c r="CK40">
        <f>IFERROR(VLOOKUP(CK$6,Hoja1!$F$2:$XFD$61,AC40+4,FALSE),0)</f>
        <v/>
      </c>
      <c r="CL40">
        <f>IFERROR(VLOOKUP(CL$6,Hoja1!$F$2:$XFD$61,AD40+4,FALSE),0)</f>
        <v/>
      </c>
      <c r="CM40">
        <f>IFERROR(VLOOKUP(CM$6,Hoja1!$F$2:$XFD$61,AE40+4,FALSE),0)</f>
        <v/>
      </c>
      <c r="CN40">
        <f>IFERROR(VLOOKUP(CN$6,Hoja1!$F$2:$XFD$61,AF40+4,FALSE),0)</f>
        <v/>
      </c>
      <c r="CO40">
        <f>IFERROR(VLOOKUP(CO$6,Hoja1!$F$2:$XFD$61,AG40+4,FALSE),0)</f>
        <v/>
      </c>
      <c r="CP40">
        <f>IFERROR(VLOOKUP(CP$6,Hoja1!$F$2:$XFD$61,AH40+4,FALSE),0)</f>
        <v/>
      </c>
      <c r="CQ40">
        <f>IFERROR(VLOOKUP(CQ$6,Hoja1!$F$2:$XFD$61,AI40+4,FALSE),0)</f>
        <v/>
      </c>
      <c r="CR40">
        <f>IFERROR(VLOOKUP(CR$6,Hoja1!$F$2:$XFD$61,AJ40+4,FALSE),0)</f>
        <v/>
      </c>
      <c r="CS40">
        <f>IFERROR(VLOOKUP(CS$6,Hoja1!$F$2:$XFD$61,AK40+4,FALSE),0)</f>
        <v/>
      </c>
      <c r="CT40">
        <f>IFERROR(VLOOKUP(CT$6,Hoja1!$F$2:$XFD$61,AL40+4,FALSE),0)</f>
        <v/>
      </c>
      <c r="CU40">
        <f>IFERROR(VLOOKUP(CU$6,Hoja1!$F$2:$XFD$61,AM40+4,FALSE),0)</f>
        <v/>
      </c>
      <c r="CV40">
        <f>IFERROR(VLOOKUP(CV$6,Hoja1!$F$2:$XFD$61,AN40+4,FALSE),0)</f>
        <v/>
      </c>
      <c r="CW40">
        <f>IFERROR(VLOOKUP(CW$6,Hoja1!$F$2:$XFD$61,AO40+4,FALSE),0)</f>
        <v/>
      </c>
      <c r="CX40">
        <f>IFERROR(VLOOKUP(CX$6,Hoja1!$F$2:$XFD$61,AP40+4,FALSE),0)</f>
        <v/>
      </c>
      <c r="CY40">
        <f>IFERROR(VLOOKUP(CY$6,Hoja1!$F$2:$XFD$61,AQ40+4,FALSE),0)</f>
        <v/>
      </c>
      <c r="CZ40">
        <f>IFERROR(VLOOKUP(CZ$6,Hoja1!$F$2:$XFD$61,AR40+4,FALSE),0)</f>
        <v/>
      </c>
      <c r="DA40">
        <f>IFERROR(VLOOKUP(DA$6,Hoja1!$F$2:$XFD$61,AS40+4,FALSE),0)</f>
        <v/>
      </c>
      <c r="DB40">
        <f>IFERROR(VLOOKUP(DB$6,Hoja1!$F$2:$XFD$61,AT40+4,FALSE),0)</f>
        <v/>
      </c>
      <c r="DC40">
        <f>IFERROR(VLOOKUP(DC$6,Hoja1!$F$2:$XFD$61,AU40+4,FALSE),0)</f>
        <v/>
      </c>
      <c r="DD40">
        <f>IFERROR(VLOOKUP(DD$6,Hoja1!$F$2:$XFD$61,AV40+4,FALSE),0)</f>
        <v/>
      </c>
      <c r="DE40">
        <f>IFERROR(VLOOKUP(DE$6,Hoja1!$F$2:$XFD$61,AW40+4,FALSE),0)</f>
        <v/>
      </c>
      <c r="DF40">
        <f>IFERROR(VLOOKUP(DF$6,Hoja1!$F$2:$XFD$61,AX40+4,FALSE),0)</f>
        <v/>
      </c>
      <c r="DG40">
        <f>IFERROR(VLOOKUP(DG$6,Hoja1!$F$2:$XFD$61,AY40+4,FALSE),0)</f>
        <v/>
      </c>
      <c r="DH40">
        <f>IFERROR(VLOOKUP(DH$6,Hoja1!$F$2:$XFD$61,AZ40+4,FALSE),0)</f>
        <v/>
      </c>
      <c r="DI40">
        <f>IFERROR(VLOOKUP(DI$6,Hoja1!$F$2:$XFD$61,BA40+4,FALSE),0)</f>
        <v/>
      </c>
      <c r="DJ40">
        <f>IFERROR(VLOOKUP(DJ$6,Hoja1!$F$2:$XFD$61,BB40+4,FALSE),0)</f>
        <v/>
      </c>
      <c r="DK40">
        <f>IFERROR(VLOOKUP(DK$6,Hoja1!$F$2:$XFD$61,BC40+4,FALSE),0)</f>
        <v/>
      </c>
      <c r="DL40">
        <f>IFERROR(VLOOKUP(DL$6,Hoja1!$F$2:$XFD$61,BD40+4,FALSE),0)</f>
        <v/>
      </c>
      <c r="DM40">
        <f>IFERROR(VLOOKUP(DM$6,Hoja1!$F$2:$XFD$61,BE40+4,FALSE),0)</f>
        <v/>
      </c>
      <c r="DN40">
        <f>IFERROR(VLOOKUP(DN$6,Hoja1!$F$2:$XFD$61,BF40+4,FALSE),0)</f>
        <v/>
      </c>
      <c r="DO40">
        <f>IFERROR(VLOOKUP(DO$6,Hoja1!$F$2:$XFD$61,BG40+4,FALSE),0)</f>
        <v/>
      </c>
      <c r="DP40">
        <f>IFERROR(VLOOKUP(DP$6,Hoja1!$F$2:$XFD$61,BH40+4,FALSE),0)</f>
        <v/>
      </c>
      <c r="DQ40">
        <f>IFERROR(VLOOKUP(DQ$6,Hoja1!$F$2:$XFD$61,BI40+4,FALSE),0)</f>
        <v/>
      </c>
      <c r="DR40">
        <f>IFERROR(VLOOKUP(DR$6,Hoja1!$F$2:$XFD$61,BJ40+4,FALSE),0)</f>
        <v/>
      </c>
      <c r="DS40">
        <f>IFERROR(VLOOKUP(DS$6,Hoja1!$F$2:$XFD$61,BK40+4,FALSE),0)</f>
        <v/>
      </c>
      <c r="DT40">
        <f>IFERROR(VLOOKUP(DT$6,Hoja1!$F$2:$XFD$61,BL40+4,FALSE),0)</f>
        <v/>
      </c>
      <c r="DU40" s="15">
        <f>IF(COUNT(E40:BL40)=$DV$7,IF(D40="","indique grupo",SUM(BM40:DT40)),"")</f>
        <v/>
      </c>
      <c r="DV40" s="16">
        <f>IF(D40&lt;&gt;"",IF(DU40="","",IF(DU40&gt;=$DU$7*Hoja1!$E$2,4+3/($DU$7*(1-Hoja1!$E$2))*(DU40-$DU$7*Hoja1!$E$2),1+3/($DU$7*Hoja1!$E$2)*DU40)),DU40)</f>
        <v/>
      </c>
      <c r="DW40" s="47" t="b">
        <v>0</v>
      </c>
    </row>
    <row r="41" ht="23.25" customHeight="1">
      <c r="A41" s="17" t="n">
        <v>32</v>
      </c>
      <c r="B41" s="18" t="inlineStr">
        <is>
          <t>RAMOS CALDERON MICHELLE AYLEEN</t>
        </is>
      </c>
      <c r="C41" s="18" t="inlineStr">
        <is>
          <t>217741092</t>
        </is>
      </c>
      <c r="D41" s="1" t="n"/>
      <c r="E41" s="28" t="n"/>
      <c r="F41" s="19" t="n"/>
      <c r="G41" s="19" t="n"/>
      <c r="H41" s="19" t="n"/>
      <c r="I41" s="19" t="n"/>
      <c r="J41" s="19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  <c r="X41" s="19" t="n"/>
      <c r="Y41" s="19" t="n"/>
      <c r="Z41" s="19" t="n"/>
      <c r="AA41" s="19" t="n"/>
      <c r="AB41" s="19" t="n"/>
      <c r="AC41" s="19" t="n"/>
      <c r="AD41" s="19" t="n"/>
      <c r="AE41" s="19" t="n"/>
      <c r="AF41" s="19" t="n"/>
      <c r="AG41" s="19" t="n"/>
      <c r="AH41" s="19" t="n"/>
      <c r="AI41" s="19" t="n"/>
      <c r="AJ41" s="19" t="n"/>
      <c r="AK41" s="19" t="n"/>
      <c r="AL41" s="19" t="n"/>
      <c r="AM41" s="19" t="n"/>
      <c r="AN41" s="19" t="n"/>
      <c r="AO41" s="19" t="n"/>
      <c r="AP41" s="19" t="n"/>
      <c r="AQ41" s="19" t="n"/>
      <c r="AR41" s="19" t="n"/>
      <c r="AS41" s="19" t="n"/>
      <c r="AT41" s="19" t="n"/>
      <c r="AU41" s="19" t="n"/>
      <c r="AV41" s="19" t="n"/>
      <c r="AW41" s="19" t="n"/>
      <c r="AX41" s="19" t="n"/>
      <c r="AY41" s="19" t="n"/>
      <c r="AZ41" s="19" t="n"/>
      <c r="BA41" s="19" t="n"/>
      <c r="BB41" s="19" t="n"/>
      <c r="BC41" s="19" t="n"/>
      <c r="BD41" s="19" t="n"/>
      <c r="BE41" s="19" t="n"/>
      <c r="BF41" s="19" t="n"/>
      <c r="BG41" s="19" t="n"/>
      <c r="BH41" s="19" t="n"/>
      <c r="BI41" s="19" t="n"/>
      <c r="BJ41" s="19" t="n"/>
      <c r="BK41" s="19" t="n"/>
      <c r="BL41" s="29" t="n"/>
      <c r="BM41">
        <f>IFERROR(VLOOKUP(BM$6,Hoja1!$F$2:$XFD$61,E41+4,FALSE),0)</f>
        <v/>
      </c>
      <c r="BN41">
        <f>IFERROR(VLOOKUP(BN$6,Hoja1!$F$2:$XFD$61,F41+4,FALSE),0)</f>
        <v/>
      </c>
      <c r="BO41">
        <f>IFERROR(VLOOKUP(BO$6,Hoja1!$F$2:$XFD$61,G41+4,FALSE),0)</f>
        <v/>
      </c>
      <c r="BP41">
        <f>IFERROR(VLOOKUP(BP$6,Hoja1!$F$2:$XFD$61,H41+4,FALSE),0)</f>
        <v/>
      </c>
      <c r="BQ41">
        <f>IFERROR(VLOOKUP(BQ$6,Hoja1!$F$2:$XFD$61,I41+4,FALSE),0)</f>
        <v/>
      </c>
      <c r="BR41">
        <f>IFERROR(VLOOKUP(BR$6,Hoja1!$F$2:$XFD$61,J41+4,FALSE),0)</f>
        <v/>
      </c>
      <c r="BS41">
        <f>IFERROR(VLOOKUP(BS$6,Hoja1!$F$2:$XFD$61,K41+4,FALSE),0)</f>
        <v/>
      </c>
      <c r="BT41">
        <f>IFERROR(VLOOKUP(BT$6,Hoja1!$F$2:$XFD$61,L41+4,FALSE),0)</f>
        <v/>
      </c>
      <c r="BU41">
        <f>IFERROR(VLOOKUP(BU$6,Hoja1!$F$2:$XFD$61,M41+4,FALSE),0)</f>
        <v/>
      </c>
      <c r="BV41">
        <f>IFERROR(VLOOKUP(BV$6,Hoja1!$F$2:$XFD$61,N41+4,FALSE),0)</f>
        <v/>
      </c>
      <c r="BW41">
        <f>IFERROR(VLOOKUP(BW$6,Hoja1!$F$2:$XFD$61,O41+4,FALSE),0)</f>
        <v/>
      </c>
      <c r="BX41">
        <f>IFERROR(VLOOKUP(BX$6,Hoja1!$F$2:$XFD$61,P41+4,FALSE),0)</f>
        <v/>
      </c>
      <c r="BY41">
        <f>IFERROR(VLOOKUP(BY$6,Hoja1!$F$2:$XFD$61,Q41+4,FALSE),0)</f>
        <v/>
      </c>
      <c r="BZ41">
        <f>IFERROR(VLOOKUP(BZ$6,Hoja1!$F$2:$XFD$61,R41+4,FALSE),0)</f>
        <v/>
      </c>
      <c r="CA41">
        <f>IFERROR(VLOOKUP(CA$6,Hoja1!$F$2:$XFD$61,S41+4,FALSE),0)</f>
        <v/>
      </c>
      <c r="CB41">
        <f>IFERROR(VLOOKUP(CB$6,Hoja1!$F$2:$XFD$61,T41+4,FALSE),0)</f>
        <v/>
      </c>
      <c r="CC41">
        <f>IFERROR(VLOOKUP(CC$6,Hoja1!$F$2:$XFD$61,U41+4,FALSE),0)</f>
        <v/>
      </c>
      <c r="CD41">
        <f>IFERROR(VLOOKUP(CD$6,Hoja1!$F$2:$XFD$61,V41+4,FALSE),0)</f>
        <v/>
      </c>
      <c r="CE41">
        <f>IFERROR(VLOOKUP(CE$6,Hoja1!$F$2:$XFD$61,W41+4,FALSE),0)</f>
        <v/>
      </c>
      <c r="CF41">
        <f>IFERROR(VLOOKUP(CF$6,Hoja1!$F$2:$XFD$61,X41+4,FALSE),0)</f>
        <v/>
      </c>
      <c r="CG41">
        <f>IFERROR(VLOOKUP(CG$6,Hoja1!$F$2:$XFD$61,Y41+4,FALSE),0)</f>
        <v/>
      </c>
      <c r="CH41">
        <f>IFERROR(VLOOKUP(CH$6,Hoja1!$F$2:$XFD$61,Z41+4,FALSE),0)</f>
        <v/>
      </c>
      <c r="CI41">
        <f>IFERROR(VLOOKUP(CI$6,Hoja1!$F$2:$XFD$61,AA41+4,FALSE),0)</f>
        <v/>
      </c>
      <c r="CJ41">
        <f>IFERROR(VLOOKUP(CJ$6,Hoja1!$F$2:$XFD$61,AB41+4,FALSE),0)</f>
        <v/>
      </c>
      <c r="CK41">
        <f>IFERROR(VLOOKUP(CK$6,Hoja1!$F$2:$XFD$61,AC41+4,FALSE),0)</f>
        <v/>
      </c>
      <c r="CL41">
        <f>IFERROR(VLOOKUP(CL$6,Hoja1!$F$2:$XFD$61,AD41+4,FALSE),0)</f>
        <v/>
      </c>
      <c r="CM41">
        <f>IFERROR(VLOOKUP(CM$6,Hoja1!$F$2:$XFD$61,AE41+4,FALSE),0)</f>
        <v/>
      </c>
      <c r="CN41">
        <f>IFERROR(VLOOKUP(CN$6,Hoja1!$F$2:$XFD$61,AF41+4,FALSE),0)</f>
        <v/>
      </c>
      <c r="CO41">
        <f>IFERROR(VLOOKUP(CO$6,Hoja1!$F$2:$XFD$61,AG41+4,FALSE),0)</f>
        <v/>
      </c>
      <c r="CP41">
        <f>IFERROR(VLOOKUP(CP$6,Hoja1!$F$2:$XFD$61,AH41+4,FALSE),0)</f>
        <v/>
      </c>
      <c r="CQ41">
        <f>IFERROR(VLOOKUP(CQ$6,Hoja1!$F$2:$XFD$61,AI41+4,FALSE),0)</f>
        <v/>
      </c>
      <c r="CR41">
        <f>IFERROR(VLOOKUP(CR$6,Hoja1!$F$2:$XFD$61,AJ41+4,FALSE),0)</f>
        <v/>
      </c>
      <c r="CS41">
        <f>IFERROR(VLOOKUP(CS$6,Hoja1!$F$2:$XFD$61,AK41+4,FALSE),0)</f>
        <v/>
      </c>
      <c r="CT41">
        <f>IFERROR(VLOOKUP(CT$6,Hoja1!$F$2:$XFD$61,AL41+4,FALSE),0)</f>
        <v/>
      </c>
      <c r="CU41">
        <f>IFERROR(VLOOKUP(CU$6,Hoja1!$F$2:$XFD$61,AM41+4,FALSE),0)</f>
        <v/>
      </c>
      <c r="CV41">
        <f>IFERROR(VLOOKUP(CV$6,Hoja1!$F$2:$XFD$61,AN41+4,FALSE),0)</f>
        <v/>
      </c>
      <c r="CW41">
        <f>IFERROR(VLOOKUP(CW$6,Hoja1!$F$2:$XFD$61,AO41+4,FALSE),0)</f>
        <v/>
      </c>
      <c r="CX41">
        <f>IFERROR(VLOOKUP(CX$6,Hoja1!$F$2:$XFD$61,AP41+4,FALSE),0)</f>
        <v/>
      </c>
      <c r="CY41">
        <f>IFERROR(VLOOKUP(CY$6,Hoja1!$F$2:$XFD$61,AQ41+4,FALSE),0)</f>
        <v/>
      </c>
      <c r="CZ41">
        <f>IFERROR(VLOOKUP(CZ$6,Hoja1!$F$2:$XFD$61,AR41+4,FALSE),0)</f>
        <v/>
      </c>
      <c r="DA41">
        <f>IFERROR(VLOOKUP(DA$6,Hoja1!$F$2:$XFD$61,AS41+4,FALSE),0)</f>
        <v/>
      </c>
      <c r="DB41">
        <f>IFERROR(VLOOKUP(DB$6,Hoja1!$F$2:$XFD$61,AT41+4,FALSE),0)</f>
        <v/>
      </c>
      <c r="DC41">
        <f>IFERROR(VLOOKUP(DC$6,Hoja1!$F$2:$XFD$61,AU41+4,FALSE),0)</f>
        <v/>
      </c>
      <c r="DD41">
        <f>IFERROR(VLOOKUP(DD$6,Hoja1!$F$2:$XFD$61,AV41+4,FALSE),0)</f>
        <v/>
      </c>
      <c r="DE41">
        <f>IFERROR(VLOOKUP(DE$6,Hoja1!$F$2:$XFD$61,AW41+4,FALSE),0)</f>
        <v/>
      </c>
      <c r="DF41">
        <f>IFERROR(VLOOKUP(DF$6,Hoja1!$F$2:$XFD$61,AX41+4,FALSE),0)</f>
        <v/>
      </c>
      <c r="DG41">
        <f>IFERROR(VLOOKUP(DG$6,Hoja1!$F$2:$XFD$61,AY41+4,FALSE),0)</f>
        <v/>
      </c>
      <c r="DH41">
        <f>IFERROR(VLOOKUP(DH$6,Hoja1!$F$2:$XFD$61,AZ41+4,FALSE),0)</f>
        <v/>
      </c>
      <c r="DI41">
        <f>IFERROR(VLOOKUP(DI$6,Hoja1!$F$2:$XFD$61,BA41+4,FALSE),0)</f>
        <v/>
      </c>
      <c r="DJ41">
        <f>IFERROR(VLOOKUP(DJ$6,Hoja1!$F$2:$XFD$61,BB41+4,FALSE),0)</f>
        <v/>
      </c>
      <c r="DK41">
        <f>IFERROR(VLOOKUP(DK$6,Hoja1!$F$2:$XFD$61,BC41+4,FALSE),0)</f>
        <v/>
      </c>
      <c r="DL41">
        <f>IFERROR(VLOOKUP(DL$6,Hoja1!$F$2:$XFD$61,BD41+4,FALSE),0)</f>
        <v/>
      </c>
      <c r="DM41">
        <f>IFERROR(VLOOKUP(DM$6,Hoja1!$F$2:$XFD$61,BE41+4,FALSE),0)</f>
        <v/>
      </c>
      <c r="DN41">
        <f>IFERROR(VLOOKUP(DN$6,Hoja1!$F$2:$XFD$61,BF41+4,FALSE),0)</f>
        <v/>
      </c>
      <c r="DO41">
        <f>IFERROR(VLOOKUP(DO$6,Hoja1!$F$2:$XFD$61,BG41+4,FALSE),0)</f>
        <v/>
      </c>
      <c r="DP41">
        <f>IFERROR(VLOOKUP(DP$6,Hoja1!$F$2:$XFD$61,BH41+4,FALSE),0)</f>
        <v/>
      </c>
      <c r="DQ41">
        <f>IFERROR(VLOOKUP(DQ$6,Hoja1!$F$2:$XFD$61,BI41+4,FALSE),0)</f>
        <v/>
      </c>
      <c r="DR41">
        <f>IFERROR(VLOOKUP(DR$6,Hoja1!$F$2:$XFD$61,BJ41+4,FALSE),0)</f>
        <v/>
      </c>
      <c r="DS41">
        <f>IFERROR(VLOOKUP(DS$6,Hoja1!$F$2:$XFD$61,BK41+4,FALSE),0)</f>
        <v/>
      </c>
      <c r="DT41">
        <f>IFERROR(VLOOKUP(DT$6,Hoja1!$F$2:$XFD$61,BL41+4,FALSE),0)</f>
        <v/>
      </c>
      <c r="DU41" s="15">
        <f>IF(COUNT(E41:BL41)=$DV$7,IF(D41="","indique grupo",SUM(BM41:DT41)),"")</f>
        <v/>
      </c>
      <c r="DV41" s="16">
        <f>IF(D41&lt;&gt;"",IF(DU41="","",IF(DU41&gt;=$DU$7*Hoja1!$E$2,4+3/($DU$7*(1-Hoja1!$E$2))*(DU41-$DU$7*Hoja1!$E$2),1+3/($DU$7*Hoja1!$E$2)*DU41)),DU41)</f>
        <v/>
      </c>
      <c r="DW41" s="47" t="b">
        <v>0</v>
      </c>
    </row>
    <row r="42" ht="23.25" customHeight="1">
      <c r="A42" s="17" t="n">
        <v>33</v>
      </c>
      <c r="B42" s="18" t="inlineStr">
        <is>
          <t>ROBLES TAPIA ALVARO ORLANDO</t>
        </is>
      </c>
      <c r="C42" s="18" t="inlineStr">
        <is>
          <t>196135987</t>
        </is>
      </c>
      <c r="D42" s="1" t="n"/>
      <c r="E42" s="28" t="n"/>
      <c r="F42" s="19" t="n"/>
      <c r="G42" s="19" t="n"/>
      <c r="H42" s="19" t="n"/>
      <c r="I42" s="19" t="n"/>
      <c r="J42" s="19" t="n"/>
      <c r="K42" s="19" t="n"/>
      <c r="L42" s="19" t="n"/>
      <c r="M42" s="19" t="n"/>
      <c r="N42" s="19" t="n"/>
      <c r="O42" s="19" t="n"/>
      <c r="P42" s="19" t="n"/>
      <c r="Q42" s="19" t="n"/>
      <c r="R42" s="19" t="n"/>
      <c r="S42" s="19" t="n"/>
      <c r="T42" s="19" t="n"/>
      <c r="U42" s="19" t="n"/>
      <c r="V42" s="19" t="n"/>
      <c r="W42" s="19" t="n"/>
      <c r="X42" s="19" t="n"/>
      <c r="Y42" s="19" t="n"/>
      <c r="Z42" s="19" t="n"/>
      <c r="AA42" s="19" t="n"/>
      <c r="AB42" s="19" t="n"/>
      <c r="AC42" s="19" t="n"/>
      <c r="AD42" s="19" t="n"/>
      <c r="AE42" s="19" t="n"/>
      <c r="AF42" s="19" t="n"/>
      <c r="AG42" s="19" t="n"/>
      <c r="AH42" s="19" t="n"/>
      <c r="AI42" s="19" t="n"/>
      <c r="AJ42" s="19" t="n"/>
      <c r="AK42" s="19" t="n"/>
      <c r="AL42" s="19" t="n"/>
      <c r="AM42" s="19" t="n"/>
      <c r="AN42" s="19" t="n"/>
      <c r="AO42" s="19" t="n"/>
      <c r="AP42" s="19" t="n"/>
      <c r="AQ42" s="19" t="n"/>
      <c r="AR42" s="19" t="n"/>
      <c r="AS42" s="19" t="n"/>
      <c r="AT42" s="19" t="n"/>
      <c r="AU42" s="19" t="n"/>
      <c r="AV42" s="19" t="n"/>
      <c r="AW42" s="19" t="n"/>
      <c r="AX42" s="19" t="n"/>
      <c r="AY42" s="19" t="n"/>
      <c r="AZ42" s="19" t="n"/>
      <c r="BA42" s="19" t="n"/>
      <c r="BB42" s="19" t="n"/>
      <c r="BC42" s="19" t="n"/>
      <c r="BD42" s="19" t="n"/>
      <c r="BE42" s="19" t="n"/>
      <c r="BF42" s="19" t="n"/>
      <c r="BG42" s="19" t="n"/>
      <c r="BH42" s="19" t="n"/>
      <c r="BI42" s="19" t="n"/>
      <c r="BJ42" s="19" t="n"/>
      <c r="BK42" s="19" t="n"/>
      <c r="BL42" s="29" t="n"/>
      <c r="BM42">
        <f>IFERROR(VLOOKUP(BM$6,Hoja1!$F$2:$XFD$61,E42+4,FALSE),0)</f>
        <v/>
      </c>
      <c r="BN42">
        <f>IFERROR(VLOOKUP(BN$6,Hoja1!$F$2:$XFD$61,F42+4,FALSE),0)</f>
        <v/>
      </c>
      <c r="BO42">
        <f>IFERROR(VLOOKUP(BO$6,Hoja1!$F$2:$XFD$61,G42+4,FALSE),0)</f>
        <v/>
      </c>
      <c r="BP42">
        <f>IFERROR(VLOOKUP(BP$6,Hoja1!$F$2:$XFD$61,H42+4,FALSE),0)</f>
        <v/>
      </c>
      <c r="BQ42">
        <f>IFERROR(VLOOKUP(BQ$6,Hoja1!$F$2:$XFD$61,I42+4,FALSE),0)</f>
        <v/>
      </c>
      <c r="BR42">
        <f>IFERROR(VLOOKUP(BR$6,Hoja1!$F$2:$XFD$61,J42+4,FALSE),0)</f>
        <v/>
      </c>
      <c r="BS42">
        <f>IFERROR(VLOOKUP(BS$6,Hoja1!$F$2:$XFD$61,K42+4,FALSE),0)</f>
        <v/>
      </c>
      <c r="BT42">
        <f>IFERROR(VLOOKUP(BT$6,Hoja1!$F$2:$XFD$61,L42+4,FALSE),0)</f>
        <v/>
      </c>
      <c r="BU42">
        <f>IFERROR(VLOOKUP(BU$6,Hoja1!$F$2:$XFD$61,M42+4,FALSE),0)</f>
        <v/>
      </c>
      <c r="BV42">
        <f>IFERROR(VLOOKUP(BV$6,Hoja1!$F$2:$XFD$61,N42+4,FALSE),0)</f>
        <v/>
      </c>
      <c r="BW42">
        <f>IFERROR(VLOOKUP(BW$6,Hoja1!$F$2:$XFD$61,O42+4,FALSE),0)</f>
        <v/>
      </c>
      <c r="BX42">
        <f>IFERROR(VLOOKUP(BX$6,Hoja1!$F$2:$XFD$61,P42+4,FALSE),0)</f>
        <v/>
      </c>
      <c r="BY42">
        <f>IFERROR(VLOOKUP(BY$6,Hoja1!$F$2:$XFD$61,Q42+4,FALSE),0)</f>
        <v/>
      </c>
      <c r="BZ42">
        <f>IFERROR(VLOOKUP(BZ$6,Hoja1!$F$2:$XFD$61,R42+4,FALSE),0)</f>
        <v/>
      </c>
      <c r="CA42">
        <f>IFERROR(VLOOKUP(CA$6,Hoja1!$F$2:$XFD$61,S42+4,FALSE),0)</f>
        <v/>
      </c>
      <c r="CB42">
        <f>IFERROR(VLOOKUP(CB$6,Hoja1!$F$2:$XFD$61,T42+4,FALSE),0)</f>
        <v/>
      </c>
      <c r="CC42">
        <f>IFERROR(VLOOKUP(CC$6,Hoja1!$F$2:$XFD$61,U42+4,FALSE),0)</f>
        <v/>
      </c>
      <c r="CD42">
        <f>IFERROR(VLOOKUP(CD$6,Hoja1!$F$2:$XFD$61,V42+4,FALSE),0)</f>
        <v/>
      </c>
      <c r="CE42">
        <f>IFERROR(VLOOKUP(CE$6,Hoja1!$F$2:$XFD$61,W42+4,FALSE),0)</f>
        <v/>
      </c>
      <c r="CF42">
        <f>IFERROR(VLOOKUP(CF$6,Hoja1!$F$2:$XFD$61,X42+4,FALSE),0)</f>
        <v/>
      </c>
      <c r="CG42">
        <f>IFERROR(VLOOKUP(CG$6,Hoja1!$F$2:$XFD$61,Y42+4,FALSE),0)</f>
        <v/>
      </c>
      <c r="CH42">
        <f>IFERROR(VLOOKUP(CH$6,Hoja1!$F$2:$XFD$61,Z42+4,FALSE),0)</f>
        <v/>
      </c>
      <c r="CI42">
        <f>IFERROR(VLOOKUP(CI$6,Hoja1!$F$2:$XFD$61,AA42+4,FALSE),0)</f>
        <v/>
      </c>
      <c r="CJ42">
        <f>IFERROR(VLOOKUP(CJ$6,Hoja1!$F$2:$XFD$61,AB42+4,FALSE),0)</f>
        <v/>
      </c>
      <c r="CK42">
        <f>IFERROR(VLOOKUP(CK$6,Hoja1!$F$2:$XFD$61,AC42+4,FALSE),0)</f>
        <v/>
      </c>
      <c r="CL42">
        <f>IFERROR(VLOOKUP(CL$6,Hoja1!$F$2:$XFD$61,AD42+4,FALSE),0)</f>
        <v/>
      </c>
      <c r="CM42">
        <f>IFERROR(VLOOKUP(CM$6,Hoja1!$F$2:$XFD$61,AE42+4,FALSE),0)</f>
        <v/>
      </c>
      <c r="CN42">
        <f>IFERROR(VLOOKUP(CN$6,Hoja1!$F$2:$XFD$61,AF42+4,FALSE),0)</f>
        <v/>
      </c>
      <c r="CO42">
        <f>IFERROR(VLOOKUP(CO$6,Hoja1!$F$2:$XFD$61,AG42+4,FALSE),0)</f>
        <v/>
      </c>
      <c r="CP42">
        <f>IFERROR(VLOOKUP(CP$6,Hoja1!$F$2:$XFD$61,AH42+4,FALSE),0)</f>
        <v/>
      </c>
      <c r="CQ42">
        <f>IFERROR(VLOOKUP(CQ$6,Hoja1!$F$2:$XFD$61,AI42+4,FALSE),0)</f>
        <v/>
      </c>
      <c r="CR42">
        <f>IFERROR(VLOOKUP(CR$6,Hoja1!$F$2:$XFD$61,AJ42+4,FALSE),0)</f>
        <v/>
      </c>
      <c r="CS42">
        <f>IFERROR(VLOOKUP(CS$6,Hoja1!$F$2:$XFD$61,AK42+4,FALSE),0)</f>
        <v/>
      </c>
      <c r="CT42">
        <f>IFERROR(VLOOKUP(CT$6,Hoja1!$F$2:$XFD$61,AL42+4,FALSE),0)</f>
        <v/>
      </c>
      <c r="CU42">
        <f>IFERROR(VLOOKUP(CU$6,Hoja1!$F$2:$XFD$61,AM42+4,FALSE),0)</f>
        <v/>
      </c>
      <c r="CV42">
        <f>IFERROR(VLOOKUP(CV$6,Hoja1!$F$2:$XFD$61,AN42+4,FALSE),0)</f>
        <v/>
      </c>
      <c r="CW42">
        <f>IFERROR(VLOOKUP(CW$6,Hoja1!$F$2:$XFD$61,AO42+4,FALSE),0)</f>
        <v/>
      </c>
      <c r="CX42">
        <f>IFERROR(VLOOKUP(CX$6,Hoja1!$F$2:$XFD$61,AP42+4,FALSE),0)</f>
        <v/>
      </c>
      <c r="CY42">
        <f>IFERROR(VLOOKUP(CY$6,Hoja1!$F$2:$XFD$61,AQ42+4,FALSE),0)</f>
        <v/>
      </c>
      <c r="CZ42">
        <f>IFERROR(VLOOKUP(CZ$6,Hoja1!$F$2:$XFD$61,AR42+4,FALSE),0)</f>
        <v/>
      </c>
      <c r="DA42">
        <f>IFERROR(VLOOKUP(DA$6,Hoja1!$F$2:$XFD$61,AS42+4,FALSE),0)</f>
        <v/>
      </c>
      <c r="DB42">
        <f>IFERROR(VLOOKUP(DB$6,Hoja1!$F$2:$XFD$61,AT42+4,FALSE),0)</f>
        <v/>
      </c>
      <c r="DC42">
        <f>IFERROR(VLOOKUP(DC$6,Hoja1!$F$2:$XFD$61,AU42+4,FALSE),0)</f>
        <v/>
      </c>
      <c r="DD42">
        <f>IFERROR(VLOOKUP(DD$6,Hoja1!$F$2:$XFD$61,AV42+4,FALSE),0)</f>
        <v/>
      </c>
      <c r="DE42">
        <f>IFERROR(VLOOKUP(DE$6,Hoja1!$F$2:$XFD$61,AW42+4,FALSE),0)</f>
        <v/>
      </c>
      <c r="DF42">
        <f>IFERROR(VLOOKUP(DF$6,Hoja1!$F$2:$XFD$61,AX42+4,FALSE),0)</f>
        <v/>
      </c>
      <c r="DG42">
        <f>IFERROR(VLOOKUP(DG$6,Hoja1!$F$2:$XFD$61,AY42+4,FALSE),0)</f>
        <v/>
      </c>
      <c r="DH42">
        <f>IFERROR(VLOOKUP(DH$6,Hoja1!$F$2:$XFD$61,AZ42+4,FALSE),0)</f>
        <v/>
      </c>
      <c r="DI42">
        <f>IFERROR(VLOOKUP(DI$6,Hoja1!$F$2:$XFD$61,BA42+4,FALSE),0)</f>
        <v/>
      </c>
      <c r="DJ42">
        <f>IFERROR(VLOOKUP(DJ$6,Hoja1!$F$2:$XFD$61,BB42+4,FALSE),0)</f>
        <v/>
      </c>
      <c r="DK42">
        <f>IFERROR(VLOOKUP(DK$6,Hoja1!$F$2:$XFD$61,BC42+4,FALSE),0)</f>
        <v/>
      </c>
      <c r="DL42">
        <f>IFERROR(VLOOKUP(DL$6,Hoja1!$F$2:$XFD$61,BD42+4,FALSE),0)</f>
        <v/>
      </c>
      <c r="DM42">
        <f>IFERROR(VLOOKUP(DM$6,Hoja1!$F$2:$XFD$61,BE42+4,FALSE),0)</f>
        <v/>
      </c>
      <c r="DN42">
        <f>IFERROR(VLOOKUP(DN$6,Hoja1!$F$2:$XFD$61,BF42+4,FALSE),0)</f>
        <v/>
      </c>
      <c r="DO42">
        <f>IFERROR(VLOOKUP(DO$6,Hoja1!$F$2:$XFD$61,BG42+4,FALSE),0)</f>
        <v/>
      </c>
      <c r="DP42">
        <f>IFERROR(VLOOKUP(DP$6,Hoja1!$F$2:$XFD$61,BH42+4,FALSE),0)</f>
        <v/>
      </c>
      <c r="DQ42">
        <f>IFERROR(VLOOKUP(DQ$6,Hoja1!$F$2:$XFD$61,BI42+4,FALSE),0)</f>
        <v/>
      </c>
      <c r="DR42">
        <f>IFERROR(VLOOKUP(DR$6,Hoja1!$F$2:$XFD$61,BJ42+4,FALSE),0)</f>
        <v/>
      </c>
      <c r="DS42">
        <f>IFERROR(VLOOKUP(DS$6,Hoja1!$F$2:$XFD$61,BK42+4,FALSE),0)</f>
        <v/>
      </c>
      <c r="DT42">
        <f>IFERROR(VLOOKUP(DT$6,Hoja1!$F$2:$XFD$61,BL42+4,FALSE),0)</f>
        <v/>
      </c>
      <c r="DU42" s="15">
        <f>IF(COUNT(E42:BL42)=$DV$7,IF(D42="","indique grupo",SUM(BM42:DT42)),"")</f>
        <v/>
      </c>
      <c r="DV42" s="16">
        <f>IF(D42&lt;&gt;"",IF(DU42="","",IF(DU42&gt;=$DU$7*Hoja1!$E$2,4+3/($DU$7*(1-Hoja1!$E$2))*(DU42-$DU$7*Hoja1!$E$2),1+3/($DU$7*Hoja1!$E$2)*DU42)),DU42)</f>
        <v/>
      </c>
      <c r="DW42" s="47" t="b">
        <v>0</v>
      </c>
    </row>
    <row r="43" ht="23.25" customHeight="1">
      <c r="A43" s="17" t="n">
        <v>34</v>
      </c>
      <c r="B43" s="18" t="inlineStr">
        <is>
          <t>RODRIGUEZ BOLIVAR JUAN DAVID DEL JESUS</t>
        </is>
      </c>
      <c r="C43" s="18" t="inlineStr">
        <is>
          <t>271467311</t>
        </is>
      </c>
      <c r="D43" s="1" t="n"/>
      <c r="E43" s="28" t="n"/>
      <c r="F43" s="19" t="n"/>
      <c r="G43" s="19" t="n"/>
      <c r="H43" s="19" t="n"/>
      <c r="I43" s="19" t="n"/>
      <c r="J43" s="19" t="n"/>
      <c r="K43" s="19" t="n"/>
      <c r="L43" s="19" t="n"/>
      <c r="M43" s="19" t="n"/>
      <c r="N43" s="19" t="n"/>
      <c r="O43" s="19" t="n"/>
      <c r="P43" s="19" t="n"/>
      <c r="Q43" s="19" t="n"/>
      <c r="R43" s="19" t="n"/>
      <c r="S43" s="19" t="n"/>
      <c r="T43" s="19" t="n"/>
      <c r="U43" s="19" t="n"/>
      <c r="V43" s="19" t="n"/>
      <c r="W43" s="19" t="n"/>
      <c r="X43" s="19" t="n"/>
      <c r="Y43" s="19" t="n"/>
      <c r="Z43" s="19" t="n"/>
      <c r="AA43" s="19" t="n"/>
      <c r="AB43" s="19" t="n"/>
      <c r="AC43" s="19" t="n"/>
      <c r="AD43" s="19" t="n"/>
      <c r="AE43" s="19" t="n"/>
      <c r="AF43" s="19" t="n"/>
      <c r="AG43" s="19" t="n"/>
      <c r="AH43" s="19" t="n"/>
      <c r="AI43" s="19" t="n"/>
      <c r="AJ43" s="19" t="n"/>
      <c r="AK43" s="19" t="n"/>
      <c r="AL43" s="19" t="n"/>
      <c r="AM43" s="19" t="n"/>
      <c r="AN43" s="19" t="n"/>
      <c r="AO43" s="19" t="n"/>
      <c r="AP43" s="19" t="n"/>
      <c r="AQ43" s="19" t="n"/>
      <c r="AR43" s="19" t="n"/>
      <c r="AS43" s="19" t="n"/>
      <c r="AT43" s="19" t="n"/>
      <c r="AU43" s="19" t="n"/>
      <c r="AV43" s="19" t="n"/>
      <c r="AW43" s="19" t="n"/>
      <c r="AX43" s="19" t="n"/>
      <c r="AY43" s="19" t="n"/>
      <c r="AZ43" s="19" t="n"/>
      <c r="BA43" s="19" t="n"/>
      <c r="BB43" s="19" t="n"/>
      <c r="BC43" s="19" t="n"/>
      <c r="BD43" s="19" t="n"/>
      <c r="BE43" s="19" t="n"/>
      <c r="BF43" s="19" t="n"/>
      <c r="BG43" s="19" t="n"/>
      <c r="BH43" s="19" t="n"/>
      <c r="BI43" s="19" t="n"/>
      <c r="BJ43" s="19" t="n"/>
      <c r="BK43" s="19" t="n"/>
      <c r="BL43" s="29" t="n"/>
      <c r="BM43">
        <f>IFERROR(VLOOKUP(BM$6,Hoja1!$F$2:$XFD$61,E43+4,FALSE),0)</f>
        <v/>
      </c>
      <c r="BN43">
        <f>IFERROR(VLOOKUP(BN$6,Hoja1!$F$2:$XFD$61,F43+4,FALSE),0)</f>
        <v/>
      </c>
      <c r="BO43">
        <f>IFERROR(VLOOKUP(BO$6,Hoja1!$F$2:$XFD$61,G43+4,FALSE),0)</f>
        <v/>
      </c>
      <c r="BP43">
        <f>IFERROR(VLOOKUP(BP$6,Hoja1!$F$2:$XFD$61,H43+4,FALSE),0)</f>
        <v/>
      </c>
      <c r="BQ43">
        <f>IFERROR(VLOOKUP(BQ$6,Hoja1!$F$2:$XFD$61,I43+4,FALSE),0)</f>
        <v/>
      </c>
      <c r="BR43">
        <f>IFERROR(VLOOKUP(BR$6,Hoja1!$F$2:$XFD$61,J43+4,FALSE),0)</f>
        <v/>
      </c>
      <c r="BS43">
        <f>IFERROR(VLOOKUP(BS$6,Hoja1!$F$2:$XFD$61,K43+4,FALSE),0)</f>
        <v/>
      </c>
      <c r="BT43">
        <f>IFERROR(VLOOKUP(BT$6,Hoja1!$F$2:$XFD$61,L43+4,FALSE),0)</f>
        <v/>
      </c>
      <c r="BU43">
        <f>IFERROR(VLOOKUP(BU$6,Hoja1!$F$2:$XFD$61,M43+4,FALSE),0)</f>
        <v/>
      </c>
      <c r="BV43">
        <f>IFERROR(VLOOKUP(BV$6,Hoja1!$F$2:$XFD$61,N43+4,FALSE),0)</f>
        <v/>
      </c>
      <c r="BW43">
        <f>IFERROR(VLOOKUP(BW$6,Hoja1!$F$2:$XFD$61,O43+4,FALSE),0)</f>
        <v/>
      </c>
      <c r="BX43">
        <f>IFERROR(VLOOKUP(BX$6,Hoja1!$F$2:$XFD$61,P43+4,FALSE),0)</f>
        <v/>
      </c>
      <c r="BY43">
        <f>IFERROR(VLOOKUP(BY$6,Hoja1!$F$2:$XFD$61,Q43+4,FALSE),0)</f>
        <v/>
      </c>
      <c r="BZ43">
        <f>IFERROR(VLOOKUP(BZ$6,Hoja1!$F$2:$XFD$61,R43+4,FALSE),0)</f>
        <v/>
      </c>
      <c r="CA43">
        <f>IFERROR(VLOOKUP(CA$6,Hoja1!$F$2:$XFD$61,S43+4,FALSE),0)</f>
        <v/>
      </c>
      <c r="CB43">
        <f>IFERROR(VLOOKUP(CB$6,Hoja1!$F$2:$XFD$61,T43+4,FALSE),0)</f>
        <v/>
      </c>
      <c r="CC43">
        <f>IFERROR(VLOOKUP(CC$6,Hoja1!$F$2:$XFD$61,U43+4,FALSE),0)</f>
        <v/>
      </c>
      <c r="CD43">
        <f>IFERROR(VLOOKUP(CD$6,Hoja1!$F$2:$XFD$61,V43+4,FALSE),0)</f>
        <v/>
      </c>
      <c r="CE43">
        <f>IFERROR(VLOOKUP(CE$6,Hoja1!$F$2:$XFD$61,W43+4,FALSE),0)</f>
        <v/>
      </c>
      <c r="CF43">
        <f>IFERROR(VLOOKUP(CF$6,Hoja1!$F$2:$XFD$61,X43+4,FALSE),0)</f>
        <v/>
      </c>
      <c r="CG43">
        <f>IFERROR(VLOOKUP(CG$6,Hoja1!$F$2:$XFD$61,Y43+4,FALSE),0)</f>
        <v/>
      </c>
      <c r="CH43">
        <f>IFERROR(VLOOKUP(CH$6,Hoja1!$F$2:$XFD$61,Z43+4,FALSE),0)</f>
        <v/>
      </c>
      <c r="CI43">
        <f>IFERROR(VLOOKUP(CI$6,Hoja1!$F$2:$XFD$61,AA43+4,FALSE),0)</f>
        <v/>
      </c>
      <c r="CJ43">
        <f>IFERROR(VLOOKUP(CJ$6,Hoja1!$F$2:$XFD$61,AB43+4,FALSE),0)</f>
        <v/>
      </c>
      <c r="CK43">
        <f>IFERROR(VLOOKUP(CK$6,Hoja1!$F$2:$XFD$61,AC43+4,FALSE),0)</f>
        <v/>
      </c>
      <c r="CL43">
        <f>IFERROR(VLOOKUP(CL$6,Hoja1!$F$2:$XFD$61,AD43+4,FALSE),0)</f>
        <v/>
      </c>
      <c r="CM43">
        <f>IFERROR(VLOOKUP(CM$6,Hoja1!$F$2:$XFD$61,AE43+4,FALSE),0)</f>
        <v/>
      </c>
      <c r="CN43">
        <f>IFERROR(VLOOKUP(CN$6,Hoja1!$F$2:$XFD$61,AF43+4,FALSE),0)</f>
        <v/>
      </c>
      <c r="CO43">
        <f>IFERROR(VLOOKUP(CO$6,Hoja1!$F$2:$XFD$61,AG43+4,FALSE),0)</f>
        <v/>
      </c>
      <c r="CP43">
        <f>IFERROR(VLOOKUP(CP$6,Hoja1!$F$2:$XFD$61,AH43+4,FALSE),0)</f>
        <v/>
      </c>
      <c r="CQ43">
        <f>IFERROR(VLOOKUP(CQ$6,Hoja1!$F$2:$XFD$61,AI43+4,FALSE),0)</f>
        <v/>
      </c>
      <c r="CR43">
        <f>IFERROR(VLOOKUP(CR$6,Hoja1!$F$2:$XFD$61,AJ43+4,FALSE),0)</f>
        <v/>
      </c>
      <c r="CS43">
        <f>IFERROR(VLOOKUP(CS$6,Hoja1!$F$2:$XFD$61,AK43+4,FALSE),0)</f>
        <v/>
      </c>
      <c r="CT43">
        <f>IFERROR(VLOOKUP(CT$6,Hoja1!$F$2:$XFD$61,AL43+4,FALSE),0)</f>
        <v/>
      </c>
      <c r="CU43">
        <f>IFERROR(VLOOKUP(CU$6,Hoja1!$F$2:$XFD$61,AM43+4,FALSE),0)</f>
        <v/>
      </c>
      <c r="CV43">
        <f>IFERROR(VLOOKUP(CV$6,Hoja1!$F$2:$XFD$61,AN43+4,FALSE),0)</f>
        <v/>
      </c>
      <c r="CW43">
        <f>IFERROR(VLOOKUP(CW$6,Hoja1!$F$2:$XFD$61,AO43+4,FALSE),0)</f>
        <v/>
      </c>
      <c r="CX43">
        <f>IFERROR(VLOOKUP(CX$6,Hoja1!$F$2:$XFD$61,AP43+4,FALSE),0)</f>
        <v/>
      </c>
      <c r="CY43">
        <f>IFERROR(VLOOKUP(CY$6,Hoja1!$F$2:$XFD$61,AQ43+4,FALSE),0)</f>
        <v/>
      </c>
      <c r="CZ43">
        <f>IFERROR(VLOOKUP(CZ$6,Hoja1!$F$2:$XFD$61,AR43+4,FALSE),0)</f>
        <v/>
      </c>
      <c r="DA43">
        <f>IFERROR(VLOOKUP(DA$6,Hoja1!$F$2:$XFD$61,AS43+4,FALSE),0)</f>
        <v/>
      </c>
      <c r="DB43">
        <f>IFERROR(VLOOKUP(DB$6,Hoja1!$F$2:$XFD$61,AT43+4,FALSE),0)</f>
        <v/>
      </c>
      <c r="DC43">
        <f>IFERROR(VLOOKUP(DC$6,Hoja1!$F$2:$XFD$61,AU43+4,FALSE),0)</f>
        <v/>
      </c>
      <c r="DD43">
        <f>IFERROR(VLOOKUP(DD$6,Hoja1!$F$2:$XFD$61,AV43+4,FALSE),0)</f>
        <v/>
      </c>
      <c r="DE43">
        <f>IFERROR(VLOOKUP(DE$6,Hoja1!$F$2:$XFD$61,AW43+4,FALSE),0)</f>
        <v/>
      </c>
      <c r="DF43">
        <f>IFERROR(VLOOKUP(DF$6,Hoja1!$F$2:$XFD$61,AX43+4,FALSE),0)</f>
        <v/>
      </c>
      <c r="DG43">
        <f>IFERROR(VLOOKUP(DG$6,Hoja1!$F$2:$XFD$61,AY43+4,FALSE),0)</f>
        <v/>
      </c>
      <c r="DH43">
        <f>IFERROR(VLOOKUP(DH$6,Hoja1!$F$2:$XFD$61,AZ43+4,FALSE),0)</f>
        <v/>
      </c>
      <c r="DI43">
        <f>IFERROR(VLOOKUP(DI$6,Hoja1!$F$2:$XFD$61,BA43+4,FALSE),0)</f>
        <v/>
      </c>
      <c r="DJ43">
        <f>IFERROR(VLOOKUP(DJ$6,Hoja1!$F$2:$XFD$61,BB43+4,FALSE),0)</f>
        <v/>
      </c>
      <c r="DK43">
        <f>IFERROR(VLOOKUP(DK$6,Hoja1!$F$2:$XFD$61,BC43+4,FALSE),0)</f>
        <v/>
      </c>
      <c r="DL43">
        <f>IFERROR(VLOOKUP(DL$6,Hoja1!$F$2:$XFD$61,BD43+4,FALSE),0)</f>
        <v/>
      </c>
      <c r="DM43">
        <f>IFERROR(VLOOKUP(DM$6,Hoja1!$F$2:$XFD$61,BE43+4,FALSE),0)</f>
        <v/>
      </c>
      <c r="DN43">
        <f>IFERROR(VLOOKUP(DN$6,Hoja1!$F$2:$XFD$61,BF43+4,FALSE),0)</f>
        <v/>
      </c>
      <c r="DO43">
        <f>IFERROR(VLOOKUP(DO$6,Hoja1!$F$2:$XFD$61,BG43+4,FALSE),0)</f>
        <v/>
      </c>
      <c r="DP43">
        <f>IFERROR(VLOOKUP(DP$6,Hoja1!$F$2:$XFD$61,BH43+4,FALSE),0)</f>
        <v/>
      </c>
      <c r="DQ43">
        <f>IFERROR(VLOOKUP(DQ$6,Hoja1!$F$2:$XFD$61,BI43+4,FALSE),0)</f>
        <v/>
      </c>
      <c r="DR43">
        <f>IFERROR(VLOOKUP(DR$6,Hoja1!$F$2:$XFD$61,BJ43+4,FALSE),0)</f>
        <v/>
      </c>
      <c r="DS43">
        <f>IFERROR(VLOOKUP(DS$6,Hoja1!$F$2:$XFD$61,BK43+4,FALSE),0)</f>
        <v/>
      </c>
      <c r="DT43">
        <f>IFERROR(VLOOKUP(DT$6,Hoja1!$F$2:$XFD$61,BL43+4,FALSE),0)</f>
        <v/>
      </c>
      <c r="DU43" s="15">
        <f>IF(COUNT(E43:BL43)=$DV$7,IF(D43="","indique grupo",SUM(BM43:DT43)),"")</f>
        <v/>
      </c>
      <c r="DV43" s="16">
        <f>IF(D43&lt;&gt;"",IF(DU43="","",IF(DU43&gt;=$DU$7*Hoja1!$E$2,4+3/($DU$7*(1-Hoja1!$E$2))*(DU43-$DU$7*Hoja1!$E$2),1+3/($DU$7*Hoja1!$E$2)*DU43)),DU43)</f>
        <v/>
      </c>
      <c r="DW43" s="47" t="b">
        <v>0</v>
      </c>
    </row>
    <row r="44" ht="23.25" customHeight="1">
      <c r="A44" s="17" t="n">
        <v>35</v>
      </c>
      <c r="B44" s="18" t="inlineStr">
        <is>
          <t>ROJAS VENENCIANO DENILSON BLADIMIR</t>
        </is>
      </c>
      <c r="C44" s="18" t="inlineStr">
        <is>
          <t>219885571</t>
        </is>
      </c>
      <c r="D44" s="1" t="n"/>
      <c r="E44" s="28" t="n"/>
      <c r="F44" s="19" t="n"/>
      <c r="G44" s="19" t="n"/>
      <c r="H44" s="19" t="n"/>
      <c r="I44" s="19" t="n"/>
      <c r="J44" s="19" t="n"/>
      <c r="K44" s="19" t="n"/>
      <c r="L44" s="19" t="n"/>
      <c r="M44" s="19" t="n"/>
      <c r="N44" s="19" t="n"/>
      <c r="O44" s="19" t="n"/>
      <c r="P44" s="19" t="n"/>
      <c r="Q44" s="19" t="n"/>
      <c r="R44" s="19" t="n"/>
      <c r="S44" s="19" t="n"/>
      <c r="T44" s="19" t="n"/>
      <c r="U44" s="19" t="n"/>
      <c r="V44" s="19" t="n"/>
      <c r="W44" s="19" t="n"/>
      <c r="X44" s="19" t="n"/>
      <c r="Y44" s="19" t="n"/>
      <c r="Z44" s="19" t="n"/>
      <c r="AA44" s="19" t="n"/>
      <c r="AB44" s="19" t="n"/>
      <c r="AC44" s="19" t="n"/>
      <c r="AD44" s="19" t="n"/>
      <c r="AE44" s="19" t="n"/>
      <c r="AF44" s="19" t="n"/>
      <c r="AG44" s="19" t="n"/>
      <c r="AH44" s="19" t="n"/>
      <c r="AI44" s="19" t="n"/>
      <c r="AJ44" s="19" t="n"/>
      <c r="AK44" s="19" t="n"/>
      <c r="AL44" s="19" t="n"/>
      <c r="AM44" s="19" t="n"/>
      <c r="AN44" s="19" t="n"/>
      <c r="AO44" s="19" t="n"/>
      <c r="AP44" s="19" t="n"/>
      <c r="AQ44" s="19" t="n"/>
      <c r="AR44" s="19" t="n"/>
      <c r="AS44" s="19" t="n"/>
      <c r="AT44" s="19" t="n"/>
      <c r="AU44" s="19" t="n"/>
      <c r="AV44" s="19" t="n"/>
      <c r="AW44" s="19" t="n"/>
      <c r="AX44" s="19" t="n"/>
      <c r="AY44" s="19" t="n"/>
      <c r="AZ44" s="19" t="n"/>
      <c r="BA44" s="19" t="n"/>
      <c r="BB44" s="19" t="n"/>
      <c r="BC44" s="19" t="n"/>
      <c r="BD44" s="19" t="n"/>
      <c r="BE44" s="19" t="n"/>
      <c r="BF44" s="19" t="n"/>
      <c r="BG44" s="19" t="n"/>
      <c r="BH44" s="19" t="n"/>
      <c r="BI44" s="19" t="n"/>
      <c r="BJ44" s="19" t="n"/>
      <c r="BK44" s="19" t="n"/>
      <c r="BL44" s="29" t="n"/>
      <c r="BM44">
        <f>IFERROR(VLOOKUP(BM$6,Hoja1!$F$2:$XFD$61,E44+4,FALSE),0)</f>
        <v/>
      </c>
      <c r="BN44">
        <f>IFERROR(VLOOKUP(BN$6,Hoja1!$F$2:$XFD$61,F44+4,FALSE),0)</f>
        <v/>
      </c>
      <c r="BO44">
        <f>IFERROR(VLOOKUP(BO$6,Hoja1!$F$2:$XFD$61,G44+4,FALSE),0)</f>
        <v/>
      </c>
      <c r="BP44">
        <f>IFERROR(VLOOKUP(BP$6,Hoja1!$F$2:$XFD$61,H44+4,FALSE),0)</f>
        <v/>
      </c>
      <c r="BQ44">
        <f>IFERROR(VLOOKUP(BQ$6,Hoja1!$F$2:$XFD$61,I44+4,FALSE),0)</f>
        <v/>
      </c>
      <c r="BR44">
        <f>IFERROR(VLOOKUP(BR$6,Hoja1!$F$2:$XFD$61,J44+4,FALSE),0)</f>
        <v/>
      </c>
      <c r="BS44">
        <f>IFERROR(VLOOKUP(BS$6,Hoja1!$F$2:$XFD$61,K44+4,FALSE),0)</f>
        <v/>
      </c>
      <c r="BT44">
        <f>IFERROR(VLOOKUP(BT$6,Hoja1!$F$2:$XFD$61,L44+4,FALSE),0)</f>
        <v/>
      </c>
      <c r="BU44">
        <f>IFERROR(VLOOKUP(BU$6,Hoja1!$F$2:$XFD$61,M44+4,FALSE),0)</f>
        <v/>
      </c>
      <c r="BV44">
        <f>IFERROR(VLOOKUP(BV$6,Hoja1!$F$2:$XFD$61,N44+4,FALSE),0)</f>
        <v/>
      </c>
      <c r="BW44">
        <f>IFERROR(VLOOKUP(BW$6,Hoja1!$F$2:$XFD$61,O44+4,FALSE),0)</f>
        <v/>
      </c>
      <c r="BX44">
        <f>IFERROR(VLOOKUP(BX$6,Hoja1!$F$2:$XFD$61,P44+4,FALSE),0)</f>
        <v/>
      </c>
      <c r="BY44">
        <f>IFERROR(VLOOKUP(BY$6,Hoja1!$F$2:$XFD$61,Q44+4,FALSE),0)</f>
        <v/>
      </c>
      <c r="BZ44">
        <f>IFERROR(VLOOKUP(BZ$6,Hoja1!$F$2:$XFD$61,R44+4,FALSE),0)</f>
        <v/>
      </c>
      <c r="CA44">
        <f>IFERROR(VLOOKUP(CA$6,Hoja1!$F$2:$XFD$61,S44+4,FALSE),0)</f>
        <v/>
      </c>
      <c r="CB44">
        <f>IFERROR(VLOOKUP(CB$6,Hoja1!$F$2:$XFD$61,T44+4,FALSE),0)</f>
        <v/>
      </c>
      <c r="CC44">
        <f>IFERROR(VLOOKUP(CC$6,Hoja1!$F$2:$XFD$61,U44+4,FALSE),0)</f>
        <v/>
      </c>
      <c r="CD44">
        <f>IFERROR(VLOOKUP(CD$6,Hoja1!$F$2:$XFD$61,V44+4,FALSE),0)</f>
        <v/>
      </c>
      <c r="CE44">
        <f>IFERROR(VLOOKUP(CE$6,Hoja1!$F$2:$XFD$61,W44+4,FALSE),0)</f>
        <v/>
      </c>
      <c r="CF44">
        <f>IFERROR(VLOOKUP(CF$6,Hoja1!$F$2:$XFD$61,X44+4,FALSE),0)</f>
        <v/>
      </c>
      <c r="CG44">
        <f>IFERROR(VLOOKUP(CG$6,Hoja1!$F$2:$XFD$61,Y44+4,FALSE),0)</f>
        <v/>
      </c>
      <c r="CH44">
        <f>IFERROR(VLOOKUP(CH$6,Hoja1!$F$2:$XFD$61,Z44+4,FALSE),0)</f>
        <v/>
      </c>
      <c r="CI44">
        <f>IFERROR(VLOOKUP(CI$6,Hoja1!$F$2:$XFD$61,AA44+4,FALSE),0)</f>
        <v/>
      </c>
      <c r="CJ44">
        <f>IFERROR(VLOOKUP(CJ$6,Hoja1!$F$2:$XFD$61,AB44+4,FALSE),0)</f>
        <v/>
      </c>
      <c r="CK44">
        <f>IFERROR(VLOOKUP(CK$6,Hoja1!$F$2:$XFD$61,AC44+4,FALSE),0)</f>
        <v/>
      </c>
      <c r="CL44">
        <f>IFERROR(VLOOKUP(CL$6,Hoja1!$F$2:$XFD$61,AD44+4,FALSE),0)</f>
        <v/>
      </c>
      <c r="CM44">
        <f>IFERROR(VLOOKUP(CM$6,Hoja1!$F$2:$XFD$61,AE44+4,FALSE),0)</f>
        <v/>
      </c>
      <c r="CN44">
        <f>IFERROR(VLOOKUP(CN$6,Hoja1!$F$2:$XFD$61,AF44+4,FALSE),0)</f>
        <v/>
      </c>
      <c r="CO44">
        <f>IFERROR(VLOOKUP(CO$6,Hoja1!$F$2:$XFD$61,AG44+4,FALSE),0)</f>
        <v/>
      </c>
      <c r="CP44">
        <f>IFERROR(VLOOKUP(CP$6,Hoja1!$F$2:$XFD$61,AH44+4,FALSE),0)</f>
        <v/>
      </c>
      <c r="CQ44">
        <f>IFERROR(VLOOKUP(CQ$6,Hoja1!$F$2:$XFD$61,AI44+4,FALSE),0)</f>
        <v/>
      </c>
      <c r="CR44">
        <f>IFERROR(VLOOKUP(CR$6,Hoja1!$F$2:$XFD$61,AJ44+4,FALSE),0)</f>
        <v/>
      </c>
      <c r="CS44">
        <f>IFERROR(VLOOKUP(CS$6,Hoja1!$F$2:$XFD$61,AK44+4,FALSE),0)</f>
        <v/>
      </c>
      <c r="CT44">
        <f>IFERROR(VLOOKUP(CT$6,Hoja1!$F$2:$XFD$61,AL44+4,FALSE),0)</f>
        <v/>
      </c>
      <c r="CU44">
        <f>IFERROR(VLOOKUP(CU$6,Hoja1!$F$2:$XFD$61,AM44+4,FALSE),0)</f>
        <v/>
      </c>
      <c r="CV44">
        <f>IFERROR(VLOOKUP(CV$6,Hoja1!$F$2:$XFD$61,AN44+4,FALSE),0)</f>
        <v/>
      </c>
      <c r="CW44">
        <f>IFERROR(VLOOKUP(CW$6,Hoja1!$F$2:$XFD$61,AO44+4,FALSE),0)</f>
        <v/>
      </c>
      <c r="CX44">
        <f>IFERROR(VLOOKUP(CX$6,Hoja1!$F$2:$XFD$61,AP44+4,FALSE),0)</f>
        <v/>
      </c>
      <c r="CY44">
        <f>IFERROR(VLOOKUP(CY$6,Hoja1!$F$2:$XFD$61,AQ44+4,FALSE),0)</f>
        <v/>
      </c>
      <c r="CZ44">
        <f>IFERROR(VLOOKUP(CZ$6,Hoja1!$F$2:$XFD$61,AR44+4,FALSE),0)</f>
        <v/>
      </c>
      <c r="DA44">
        <f>IFERROR(VLOOKUP(DA$6,Hoja1!$F$2:$XFD$61,AS44+4,FALSE),0)</f>
        <v/>
      </c>
      <c r="DB44">
        <f>IFERROR(VLOOKUP(DB$6,Hoja1!$F$2:$XFD$61,AT44+4,FALSE),0)</f>
        <v/>
      </c>
      <c r="DC44">
        <f>IFERROR(VLOOKUP(DC$6,Hoja1!$F$2:$XFD$61,AU44+4,FALSE),0)</f>
        <v/>
      </c>
      <c r="DD44">
        <f>IFERROR(VLOOKUP(DD$6,Hoja1!$F$2:$XFD$61,AV44+4,FALSE),0)</f>
        <v/>
      </c>
      <c r="DE44">
        <f>IFERROR(VLOOKUP(DE$6,Hoja1!$F$2:$XFD$61,AW44+4,FALSE),0)</f>
        <v/>
      </c>
      <c r="DF44">
        <f>IFERROR(VLOOKUP(DF$6,Hoja1!$F$2:$XFD$61,AX44+4,FALSE),0)</f>
        <v/>
      </c>
      <c r="DG44">
        <f>IFERROR(VLOOKUP(DG$6,Hoja1!$F$2:$XFD$61,AY44+4,FALSE),0)</f>
        <v/>
      </c>
      <c r="DH44">
        <f>IFERROR(VLOOKUP(DH$6,Hoja1!$F$2:$XFD$61,AZ44+4,FALSE),0)</f>
        <v/>
      </c>
      <c r="DI44">
        <f>IFERROR(VLOOKUP(DI$6,Hoja1!$F$2:$XFD$61,BA44+4,FALSE),0)</f>
        <v/>
      </c>
      <c r="DJ44">
        <f>IFERROR(VLOOKUP(DJ$6,Hoja1!$F$2:$XFD$61,BB44+4,FALSE),0)</f>
        <v/>
      </c>
      <c r="DK44">
        <f>IFERROR(VLOOKUP(DK$6,Hoja1!$F$2:$XFD$61,BC44+4,FALSE),0)</f>
        <v/>
      </c>
      <c r="DL44">
        <f>IFERROR(VLOOKUP(DL$6,Hoja1!$F$2:$XFD$61,BD44+4,FALSE),0)</f>
        <v/>
      </c>
      <c r="DM44">
        <f>IFERROR(VLOOKUP(DM$6,Hoja1!$F$2:$XFD$61,BE44+4,FALSE),0)</f>
        <v/>
      </c>
      <c r="DN44">
        <f>IFERROR(VLOOKUP(DN$6,Hoja1!$F$2:$XFD$61,BF44+4,FALSE),0)</f>
        <v/>
      </c>
      <c r="DO44">
        <f>IFERROR(VLOOKUP(DO$6,Hoja1!$F$2:$XFD$61,BG44+4,FALSE),0)</f>
        <v/>
      </c>
      <c r="DP44">
        <f>IFERROR(VLOOKUP(DP$6,Hoja1!$F$2:$XFD$61,BH44+4,FALSE),0)</f>
        <v/>
      </c>
      <c r="DQ44">
        <f>IFERROR(VLOOKUP(DQ$6,Hoja1!$F$2:$XFD$61,BI44+4,FALSE),0)</f>
        <v/>
      </c>
      <c r="DR44">
        <f>IFERROR(VLOOKUP(DR$6,Hoja1!$F$2:$XFD$61,BJ44+4,FALSE),0)</f>
        <v/>
      </c>
      <c r="DS44">
        <f>IFERROR(VLOOKUP(DS$6,Hoja1!$F$2:$XFD$61,BK44+4,FALSE),0)</f>
        <v/>
      </c>
      <c r="DT44">
        <f>IFERROR(VLOOKUP(DT$6,Hoja1!$F$2:$XFD$61,BL44+4,FALSE),0)</f>
        <v/>
      </c>
      <c r="DU44" s="15">
        <f>IF(COUNT(E44:BL44)=$DV$7,IF(D44="","indique grupo",SUM(BM44:DT44)),"")</f>
        <v/>
      </c>
      <c r="DV44" s="16">
        <f>IF(D44&lt;&gt;"",IF(DU44="","",IF(DU44&gt;=$DU$7*Hoja1!$E$2,4+3/($DU$7*(1-Hoja1!$E$2))*(DU44-$DU$7*Hoja1!$E$2),1+3/($DU$7*Hoja1!$E$2)*DU44)),DU44)</f>
        <v/>
      </c>
      <c r="DW44" s="47" t="b">
        <v>0</v>
      </c>
    </row>
    <row r="45" ht="23.25" customHeight="1">
      <c r="A45" s="17" t="n">
        <v>36</v>
      </c>
      <c r="B45" s="18" t="inlineStr">
        <is>
          <t>RUIZ CALDERON ESTEBAN RODRIGO</t>
        </is>
      </c>
      <c r="C45" s="18" t="inlineStr">
        <is>
          <t>185676307</t>
        </is>
      </c>
      <c r="D45" s="1" t="n"/>
      <c r="E45" s="28" t="n"/>
      <c r="F45" s="19" t="n"/>
      <c r="G45" s="19" t="n"/>
      <c r="H45" s="19" t="n"/>
      <c r="I45" s="19" t="n"/>
      <c r="J45" s="19" t="n"/>
      <c r="K45" s="19" t="n"/>
      <c r="L45" s="19" t="n"/>
      <c r="M45" s="19" t="n"/>
      <c r="N45" s="19" t="n"/>
      <c r="O45" s="19" t="n"/>
      <c r="P45" s="19" t="n"/>
      <c r="Q45" s="19" t="n"/>
      <c r="R45" s="19" t="n"/>
      <c r="S45" s="19" t="n"/>
      <c r="T45" s="19" t="n"/>
      <c r="U45" s="19" t="n"/>
      <c r="V45" s="19" t="n"/>
      <c r="W45" s="19" t="n"/>
      <c r="X45" s="19" t="n"/>
      <c r="Y45" s="19" t="n"/>
      <c r="Z45" s="19" t="n"/>
      <c r="AA45" s="19" t="n"/>
      <c r="AB45" s="19" t="n"/>
      <c r="AC45" s="19" t="n"/>
      <c r="AD45" s="19" t="n"/>
      <c r="AE45" s="19" t="n"/>
      <c r="AF45" s="19" t="n"/>
      <c r="AG45" s="19" t="n"/>
      <c r="AH45" s="19" t="n"/>
      <c r="AI45" s="19" t="n"/>
      <c r="AJ45" s="19" t="n"/>
      <c r="AK45" s="19" t="n"/>
      <c r="AL45" s="19" t="n"/>
      <c r="AM45" s="19" t="n"/>
      <c r="AN45" s="19" t="n"/>
      <c r="AO45" s="19" t="n"/>
      <c r="AP45" s="19" t="n"/>
      <c r="AQ45" s="19" t="n"/>
      <c r="AR45" s="19" t="n"/>
      <c r="AS45" s="19" t="n"/>
      <c r="AT45" s="19" t="n"/>
      <c r="AU45" s="19" t="n"/>
      <c r="AV45" s="19" t="n"/>
      <c r="AW45" s="19" t="n"/>
      <c r="AX45" s="19" t="n"/>
      <c r="AY45" s="19" t="n"/>
      <c r="AZ45" s="19" t="n"/>
      <c r="BA45" s="19" t="n"/>
      <c r="BB45" s="19" t="n"/>
      <c r="BC45" s="19" t="n"/>
      <c r="BD45" s="19" t="n"/>
      <c r="BE45" s="19" t="n"/>
      <c r="BF45" s="19" t="n"/>
      <c r="BG45" s="19" t="n"/>
      <c r="BH45" s="19" t="n"/>
      <c r="BI45" s="19" t="n"/>
      <c r="BJ45" s="19" t="n"/>
      <c r="BK45" s="19" t="n"/>
      <c r="BL45" s="29" t="n"/>
      <c r="BM45">
        <f>IFERROR(VLOOKUP(BM$6,Hoja1!$F$2:$XFD$61,E45+4,FALSE),0)</f>
        <v/>
      </c>
      <c r="BN45">
        <f>IFERROR(VLOOKUP(BN$6,Hoja1!$F$2:$XFD$61,F45+4,FALSE),0)</f>
        <v/>
      </c>
      <c r="BO45">
        <f>IFERROR(VLOOKUP(BO$6,Hoja1!$F$2:$XFD$61,G45+4,FALSE),0)</f>
        <v/>
      </c>
      <c r="BP45">
        <f>IFERROR(VLOOKUP(BP$6,Hoja1!$F$2:$XFD$61,H45+4,FALSE),0)</f>
        <v/>
      </c>
      <c r="BQ45">
        <f>IFERROR(VLOOKUP(BQ$6,Hoja1!$F$2:$XFD$61,I45+4,FALSE),0)</f>
        <v/>
      </c>
      <c r="BR45">
        <f>IFERROR(VLOOKUP(BR$6,Hoja1!$F$2:$XFD$61,J45+4,FALSE),0)</f>
        <v/>
      </c>
      <c r="BS45">
        <f>IFERROR(VLOOKUP(BS$6,Hoja1!$F$2:$XFD$61,K45+4,FALSE),0)</f>
        <v/>
      </c>
      <c r="BT45">
        <f>IFERROR(VLOOKUP(BT$6,Hoja1!$F$2:$XFD$61,L45+4,FALSE),0)</f>
        <v/>
      </c>
      <c r="BU45">
        <f>IFERROR(VLOOKUP(BU$6,Hoja1!$F$2:$XFD$61,M45+4,FALSE),0)</f>
        <v/>
      </c>
      <c r="BV45">
        <f>IFERROR(VLOOKUP(BV$6,Hoja1!$F$2:$XFD$61,N45+4,FALSE),0)</f>
        <v/>
      </c>
      <c r="BW45">
        <f>IFERROR(VLOOKUP(BW$6,Hoja1!$F$2:$XFD$61,O45+4,FALSE),0)</f>
        <v/>
      </c>
      <c r="BX45">
        <f>IFERROR(VLOOKUP(BX$6,Hoja1!$F$2:$XFD$61,P45+4,FALSE),0)</f>
        <v/>
      </c>
      <c r="BY45">
        <f>IFERROR(VLOOKUP(BY$6,Hoja1!$F$2:$XFD$61,Q45+4,FALSE),0)</f>
        <v/>
      </c>
      <c r="BZ45">
        <f>IFERROR(VLOOKUP(BZ$6,Hoja1!$F$2:$XFD$61,R45+4,FALSE),0)</f>
        <v/>
      </c>
      <c r="CA45">
        <f>IFERROR(VLOOKUP(CA$6,Hoja1!$F$2:$XFD$61,S45+4,FALSE),0)</f>
        <v/>
      </c>
      <c r="CB45">
        <f>IFERROR(VLOOKUP(CB$6,Hoja1!$F$2:$XFD$61,T45+4,FALSE),0)</f>
        <v/>
      </c>
      <c r="CC45">
        <f>IFERROR(VLOOKUP(CC$6,Hoja1!$F$2:$XFD$61,U45+4,FALSE),0)</f>
        <v/>
      </c>
      <c r="CD45">
        <f>IFERROR(VLOOKUP(CD$6,Hoja1!$F$2:$XFD$61,V45+4,FALSE),0)</f>
        <v/>
      </c>
      <c r="CE45">
        <f>IFERROR(VLOOKUP(CE$6,Hoja1!$F$2:$XFD$61,W45+4,FALSE),0)</f>
        <v/>
      </c>
      <c r="CF45">
        <f>IFERROR(VLOOKUP(CF$6,Hoja1!$F$2:$XFD$61,X45+4,FALSE),0)</f>
        <v/>
      </c>
      <c r="CG45">
        <f>IFERROR(VLOOKUP(CG$6,Hoja1!$F$2:$XFD$61,Y45+4,FALSE),0)</f>
        <v/>
      </c>
      <c r="CH45">
        <f>IFERROR(VLOOKUP(CH$6,Hoja1!$F$2:$XFD$61,Z45+4,FALSE),0)</f>
        <v/>
      </c>
      <c r="CI45">
        <f>IFERROR(VLOOKUP(CI$6,Hoja1!$F$2:$XFD$61,AA45+4,FALSE),0)</f>
        <v/>
      </c>
      <c r="CJ45">
        <f>IFERROR(VLOOKUP(CJ$6,Hoja1!$F$2:$XFD$61,AB45+4,FALSE),0)</f>
        <v/>
      </c>
      <c r="CK45">
        <f>IFERROR(VLOOKUP(CK$6,Hoja1!$F$2:$XFD$61,AC45+4,FALSE),0)</f>
        <v/>
      </c>
      <c r="CL45">
        <f>IFERROR(VLOOKUP(CL$6,Hoja1!$F$2:$XFD$61,AD45+4,FALSE),0)</f>
        <v/>
      </c>
      <c r="CM45">
        <f>IFERROR(VLOOKUP(CM$6,Hoja1!$F$2:$XFD$61,AE45+4,FALSE),0)</f>
        <v/>
      </c>
      <c r="CN45">
        <f>IFERROR(VLOOKUP(CN$6,Hoja1!$F$2:$XFD$61,AF45+4,FALSE),0)</f>
        <v/>
      </c>
      <c r="CO45">
        <f>IFERROR(VLOOKUP(CO$6,Hoja1!$F$2:$XFD$61,AG45+4,FALSE),0)</f>
        <v/>
      </c>
      <c r="CP45">
        <f>IFERROR(VLOOKUP(CP$6,Hoja1!$F$2:$XFD$61,AH45+4,FALSE),0)</f>
        <v/>
      </c>
      <c r="CQ45">
        <f>IFERROR(VLOOKUP(CQ$6,Hoja1!$F$2:$XFD$61,AI45+4,FALSE),0)</f>
        <v/>
      </c>
      <c r="CR45">
        <f>IFERROR(VLOOKUP(CR$6,Hoja1!$F$2:$XFD$61,AJ45+4,FALSE),0)</f>
        <v/>
      </c>
      <c r="CS45">
        <f>IFERROR(VLOOKUP(CS$6,Hoja1!$F$2:$XFD$61,AK45+4,FALSE),0)</f>
        <v/>
      </c>
      <c r="CT45">
        <f>IFERROR(VLOOKUP(CT$6,Hoja1!$F$2:$XFD$61,AL45+4,FALSE),0)</f>
        <v/>
      </c>
      <c r="CU45">
        <f>IFERROR(VLOOKUP(CU$6,Hoja1!$F$2:$XFD$61,AM45+4,FALSE),0)</f>
        <v/>
      </c>
      <c r="CV45">
        <f>IFERROR(VLOOKUP(CV$6,Hoja1!$F$2:$XFD$61,AN45+4,FALSE),0)</f>
        <v/>
      </c>
      <c r="CW45">
        <f>IFERROR(VLOOKUP(CW$6,Hoja1!$F$2:$XFD$61,AO45+4,FALSE),0)</f>
        <v/>
      </c>
      <c r="CX45">
        <f>IFERROR(VLOOKUP(CX$6,Hoja1!$F$2:$XFD$61,AP45+4,FALSE),0)</f>
        <v/>
      </c>
      <c r="CY45">
        <f>IFERROR(VLOOKUP(CY$6,Hoja1!$F$2:$XFD$61,AQ45+4,FALSE),0)</f>
        <v/>
      </c>
      <c r="CZ45">
        <f>IFERROR(VLOOKUP(CZ$6,Hoja1!$F$2:$XFD$61,AR45+4,FALSE),0)</f>
        <v/>
      </c>
      <c r="DA45">
        <f>IFERROR(VLOOKUP(DA$6,Hoja1!$F$2:$XFD$61,AS45+4,FALSE),0)</f>
        <v/>
      </c>
      <c r="DB45">
        <f>IFERROR(VLOOKUP(DB$6,Hoja1!$F$2:$XFD$61,AT45+4,FALSE),0)</f>
        <v/>
      </c>
      <c r="DC45">
        <f>IFERROR(VLOOKUP(DC$6,Hoja1!$F$2:$XFD$61,AU45+4,FALSE),0)</f>
        <v/>
      </c>
      <c r="DD45">
        <f>IFERROR(VLOOKUP(DD$6,Hoja1!$F$2:$XFD$61,AV45+4,FALSE),0)</f>
        <v/>
      </c>
      <c r="DE45">
        <f>IFERROR(VLOOKUP(DE$6,Hoja1!$F$2:$XFD$61,AW45+4,FALSE),0)</f>
        <v/>
      </c>
      <c r="DF45">
        <f>IFERROR(VLOOKUP(DF$6,Hoja1!$F$2:$XFD$61,AX45+4,FALSE),0)</f>
        <v/>
      </c>
      <c r="DG45">
        <f>IFERROR(VLOOKUP(DG$6,Hoja1!$F$2:$XFD$61,AY45+4,FALSE),0)</f>
        <v/>
      </c>
      <c r="DH45">
        <f>IFERROR(VLOOKUP(DH$6,Hoja1!$F$2:$XFD$61,AZ45+4,FALSE),0)</f>
        <v/>
      </c>
      <c r="DI45">
        <f>IFERROR(VLOOKUP(DI$6,Hoja1!$F$2:$XFD$61,BA45+4,FALSE),0)</f>
        <v/>
      </c>
      <c r="DJ45">
        <f>IFERROR(VLOOKUP(DJ$6,Hoja1!$F$2:$XFD$61,BB45+4,FALSE),0)</f>
        <v/>
      </c>
      <c r="DK45">
        <f>IFERROR(VLOOKUP(DK$6,Hoja1!$F$2:$XFD$61,BC45+4,FALSE),0)</f>
        <v/>
      </c>
      <c r="DL45">
        <f>IFERROR(VLOOKUP(DL$6,Hoja1!$F$2:$XFD$61,BD45+4,FALSE),0)</f>
        <v/>
      </c>
      <c r="DM45">
        <f>IFERROR(VLOOKUP(DM$6,Hoja1!$F$2:$XFD$61,BE45+4,FALSE),0)</f>
        <v/>
      </c>
      <c r="DN45">
        <f>IFERROR(VLOOKUP(DN$6,Hoja1!$F$2:$XFD$61,BF45+4,FALSE),0)</f>
        <v/>
      </c>
      <c r="DO45">
        <f>IFERROR(VLOOKUP(DO$6,Hoja1!$F$2:$XFD$61,BG45+4,FALSE),0)</f>
        <v/>
      </c>
      <c r="DP45">
        <f>IFERROR(VLOOKUP(DP$6,Hoja1!$F$2:$XFD$61,BH45+4,FALSE),0)</f>
        <v/>
      </c>
      <c r="DQ45">
        <f>IFERROR(VLOOKUP(DQ$6,Hoja1!$F$2:$XFD$61,BI45+4,FALSE),0)</f>
        <v/>
      </c>
      <c r="DR45">
        <f>IFERROR(VLOOKUP(DR$6,Hoja1!$F$2:$XFD$61,BJ45+4,FALSE),0)</f>
        <v/>
      </c>
      <c r="DS45">
        <f>IFERROR(VLOOKUP(DS$6,Hoja1!$F$2:$XFD$61,BK45+4,FALSE),0)</f>
        <v/>
      </c>
      <c r="DT45">
        <f>IFERROR(VLOOKUP(DT$6,Hoja1!$F$2:$XFD$61,BL45+4,FALSE),0)</f>
        <v/>
      </c>
      <c r="DU45" s="15">
        <f>IF(COUNT(E45:BL45)=$DV$7,IF(D45="","indique grupo",SUM(BM45:DT45)),"")</f>
        <v/>
      </c>
      <c r="DV45" s="16">
        <f>IF(D45&lt;&gt;"",IF(DU45="","",IF(DU45&gt;=$DU$7*Hoja1!$E$2,4+3/($DU$7*(1-Hoja1!$E$2))*(DU45-$DU$7*Hoja1!$E$2),1+3/($DU$7*Hoja1!$E$2)*DU45)),DU45)</f>
        <v/>
      </c>
      <c r="DW45" s="47" t="b">
        <v>0</v>
      </c>
    </row>
    <row r="46" ht="23.25" customHeight="1">
      <c r="A46" s="17" t="n">
        <v>37</v>
      </c>
      <c r="B46" s="18" t="inlineStr">
        <is>
          <t>SALGADO COFRE MARCO ISAAC</t>
        </is>
      </c>
      <c r="C46" s="18" t="inlineStr">
        <is>
          <t>194940076</t>
        </is>
      </c>
      <c r="D46" s="1" t="n"/>
      <c r="E46" s="28" t="n"/>
      <c r="F46" s="19" t="n"/>
      <c r="G46" s="19" t="n"/>
      <c r="H46" s="19" t="n"/>
      <c r="I46" s="19" t="n"/>
      <c r="J46" s="19" t="n"/>
      <c r="K46" s="19" t="n"/>
      <c r="L46" s="19" t="n"/>
      <c r="M46" s="19" t="n"/>
      <c r="N46" s="19" t="n"/>
      <c r="O46" s="19" t="n"/>
      <c r="P46" s="19" t="n"/>
      <c r="Q46" s="19" t="n"/>
      <c r="R46" s="19" t="n"/>
      <c r="S46" s="19" t="n"/>
      <c r="T46" s="19" t="n"/>
      <c r="U46" s="19" t="n"/>
      <c r="V46" s="19" t="n"/>
      <c r="W46" s="19" t="n"/>
      <c r="X46" s="19" t="n"/>
      <c r="Y46" s="19" t="n"/>
      <c r="Z46" s="19" t="n"/>
      <c r="AA46" s="19" t="n"/>
      <c r="AB46" s="19" t="n"/>
      <c r="AC46" s="19" t="n"/>
      <c r="AD46" s="19" t="n"/>
      <c r="AE46" s="19" t="n"/>
      <c r="AF46" s="19" t="n"/>
      <c r="AG46" s="19" t="n"/>
      <c r="AH46" s="19" t="n"/>
      <c r="AI46" s="19" t="n"/>
      <c r="AJ46" s="19" t="n"/>
      <c r="AK46" s="19" t="n"/>
      <c r="AL46" s="19" t="n"/>
      <c r="AM46" s="19" t="n"/>
      <c r="AN46" s="19" t="n"/>
      <c r="AO46" s="19" t="n"/>
      <c r="AP46" s="19" t="n"/>
      <c r="AQ46" s="19" t="n"/>
      <c r="AR46" s="19" t="n"/>
      <c r="AS46" s="19" t="n"/>
      <c r="AT46" s="19" t="n"/>
      <c r="AU46" s="19" t="n"/>
      <c r="AV46" s="19" t="n"/>
      <c r="AW46" s="19" t="n"/>
      <c r="AX46" s="19" t="n"/>
      <c r="AY46" s="19" t="n"/>
      <c r="AZ46" s="19" t="n"/>
      <c r="BA46" s="19" t="n"/>
      <c r="BB46" s="19" t="n"/>
      <c r="BC46" s="19" t="n"/>
      <c r="BD46" s="19" t="n"/>
      <c r="BE46" s="19" t="n"/>
      <c r="BF46" s="19" t="n"/>
      <c r="BG46" s="19" t="n"/>
      <c r="BH46" s="19" t="n"/>
      <c r="BI46" s="19" t="n"/>
      <c r="BJ46" s="19" t="n"/>
      <c r="BK46" s="19" t="n"/>
      <c r="BL46" s="29" t="n"/>
      <c r="BM46">
        <f>IFERROR(VLOOKUP(BM$6,Hoja1!$F$2:$XFD$61,E46+4,FALSE),0)</f>
        <v/>
      </c>
      <c r="BN46">
        <f>IFERROR(VLOOKUP(BN$6,Hoja1!$F$2:$XFD$61,F46+4,FALSE),0)</f>
        <v/>
      </c>
      <c r="BO46">
        <f>IFERROR(VLOOKUP(BO$6,Hoja1!$F$2:$XFD$61,G46+4,FALSE),0)</f>
        <v/>
      </c>
      <c r="BP46">
        <f>IFERROR(VLOOKUP(BP$6,Hoja1!$F$2:$XFD$61,H46+4,FALSE),0)</f>
        <v/>
      </c>
      <c r="BQ46">
        <f>IFERROR(VLOOKUP(BQ$6,Hoja1!$F$2:$XFD$61,I46+4,FALSE),0)</f>
        <v/>
      </c>
      <c r="BR46">
        <f>IFERROR(VLOOKUP(BR$6,Hoja1!$F$2:$XFD$61,J46+4,FALSE),0)</f>
        <v/>
      </c>
      <c r="BS46">
        <f>IFERROR(VLOOKUP(BS$6,Hoja1!$F$2:$XFD$61,K46+4,FALSE),0)</f>
        <v/>
      </c>
      <c r="BT46">
        <f>IFERROR(VLOOKUP(BT$6,Hoja1!$F$2:$XFD$61,L46+4,FALSE),0)</f>
        <v/>
      </c>
      <c r="BU46">
        <f>IFERROR(VLOOKUP(BU$6,Hoja1!$F$2:$XFD$61,M46+4,FALSE),0)</f>
        <v/>
      </c>
      <c r="BV46">
        <f>IFERROR(VLOOKUP(BV$6,Hoja1!$F$2:$XFD$61,N46+4,FALSE),0)</f>
        <v/>
      </c>
      <c r="BW46">
        <f>IFERROR(VLOOKUP(BW$6,Hoja1!$F$2:$XFD$61,O46+4,FALSE),0)</f>
        <v/>
      </c>
      <c r="BX46">
        <f>IFERROR(VLOOKUP(BX$6,Hoja1!$F$2:$XFD$61,P46+4,FALSE),0)</f>
        <v/>
      </c>
      <c r="BY46">
        <f>IFERROR(VLOOKUP(BY$6,Hoja1!$F$2:$XFD$61,Q46+4,FALSE),0)</f>
        <v/>
      </c>
      <c r="BZ46">
        <f>IFERROR(VLOOKUP(BZ$6,Hoja1!$F$2:$XFD$61,R46+4,FALSE),0)</f>
        <v/>
      </c>
      <c r="CA46">
        <f>IFERROR(VLOOKUP(CA$6,Hoja1!$F$2:$XFD$61,S46+4,FALSE),0)</f>
        <v/>
      </c>
      <c r="CB46">
        <f>IFERROR(VLOOKUP(CB$6,Hoja1!$F$2:$XFD$61,T46+4,FALSE),0)</f>
        <v/>
      </c>
      <c r="CC46">
        <f>IFERROR(VLOOKUP(CC$6,Hoja1!$F$2:$XFD$61,U46+4,FALSE),0)</f>
        <v/>
      </c>
      <c r="CD46">
        <f>IFERROR(VLOOKUP(CD$6,Hoja1!$F$2:$XFD$61,V46+4,FALSE),0)</f>
        <v/>
      </c>
      <c r="CE46">
        <f>IFERROR(VLOOKUP(CE$6,Hoja1!$F$2:$XFD$61,W46+4,FALSE),0)</f>
        <v/>
      </c>
      <c r="CF46">
        <f>IFERROR(VLOOKUP(CF$6,Hoja1!$F$2:$XFD$61,X46+4,FALSE),0)</f>
        <v/>
      </c>
      <c r="CG46">
        <f>IFERROR(VLOOKUP(CG$6,Hoja1!$F$2:$XFD$61,Y46+4,FALSE),0)</f>
        <v/>
      </c>
      <c r="CH46">
        <f>IFERROR(VLOOKUP(CH$6,Hoja1!$F$2:$XFD$61,Z46+4,FALSE),0)</f>
        <v/>
      </c>
      <c r="CI46">
        <f>IFERROR(VLOOKUP(CI$6,Hoja1!$F$2:$XFD$61,AA46+4,FALSE),0)</f>
        <v/>
      </c>
      <c r="CJ46">
        <f>IFERROR(VLOOKUP(CJ$6,Hoja1!$F$2:$XFD$61,AB46+4,FALSE),0)</f>
        <v/>
      </c>
      <c r="CK46">
        <f>IFERROR(VLOOKUP(CK$6,Hoja1!$F$2:$XFD$61,AC46+4,FALSE),0)</f>
        <v/>
      </c>
      <c r="CL46">
        <f>IFERROR(VLOOKUP(CL$6,Hoja1!$F$2:$XFD$61,AD46+4,FALSE),0)</f>
        <v/>
      </c>
      <c r="CM46">
        <f>IFERROR(VLOOKUP(CM$6,Hoja1!$F$2:$XFD$61,AE46+4,FALSE),0)</f>
        <v/>
      </c>
      <c r="CN46">
        <f>IFERROR(VLOOKUP(CN$6,Hoja1!$F$2:$XFD$61,AF46+4,FALSE),0)</f>
        <v/>
      </c>
      <c r="CO46">
        <f>IFERROR(VLOOKUP(CO$6,Hoja1!$F$2:$XFD$61,AG46+4,FALSE),0)</f>
        <v/>
      </c>
      <c r="CP46">
        <f>IFERROR(VLOOKUP(CP$6,Hoja1!$F$2:$XFD$61,AH46+4,FALSE),0)</f>
        <v/>
      </c>
      <c r="CQ46">
        <f>IFERROR(VLOOKUP(CQ$6,Hoja1!$F$2:$XFD$61,AI46+4,FALSE),0)</f>
        <v/>
      </c>
      <c r="CR46">
        <f>IFERROR(VLOOKUP(CR$6,Hoja1!$F$2:$XFD$61,AJ46+4,FALSE),0)</f>
        <v/>
      </c>
      <c r="CS46">
        <f>IFERROR(VLOOKUP(CS$6,Hoja1!$F$2:$XFD$61,AK46+4,FALSE),0)</f>
        <v/>
      </c>
      <c r="CT46">
        <f>IFERROR(VLOOKUP(CT$6,Hoja1!$F$2:$XFD$61,AL46+4,FALSE),0)</f>
        <v/>
      </c>
      <c r="CU46">
        <f>IFERROR(VLOOKUP(CU$6,Hoja1!$F$2:$XFD$61,AM46+4,FALSE),0)</f>
        <v/>
      </c>
      <c r="CV46">
        <f>IFERROR(VLOOKUP(CV$6,Hoja1!$F$2:$XFD$61,AN46+4,FALSE),0)</f>
        <v/>
      </c>
      <c r="CW46">
        <f>IFERROR(VLOOKUP(CW$6,Hoja1!$F$2:$XFD$61,AO46+4,FALSE),0)</f>
        <v/>
      </c>
      <c r="CX46">
        <f>IFERROR(VLOOKUP(CX$6,Hoja1!$F$2:$XFD$61,AP46+4,FALSE),0)</f>
        <v/>
      </c>
      <c r="CY46">
        <f>IFERROR(VLOOKUP(CY$6,Hoja1!$F$2:$XFD$61,AQ46+4,FALSE),0)</f>
        <v/>
      </c>
      <c r="CZ46">
        <f>IFERROR(VLOOKUP(CZ$6,Hoja1!$F$2:$XFD$61,AR46+4,FALSE),0)</f>
        <v/>
      </c>
      <c r="DA46">
        <f>IFERROR(VLOOKUP(DA$6,Hoja1!$F$2:$XFD$61,AS46+4,FALSE),0)</f>
        <v/>
      </c>
      <c r="DB46">
        <f>IFERROR(VLOOKUP(DB$6,Hoja1!$F$2:$XFD$61,AT46+4,FALSE),0)</f>
        <v/>
      </c>
      <c r="DC46">
        <f>IFERROR(VLOOKUP(DC$6,Hoja1!$F$2:$XFD$61,AU46+4,FALSE),0)</f>
        <v/>
      </c>
      <c r="DD46">
        <f>IFERROR(VLOOKUP(DD$6,Hoja1!$F$2:$XFD$61,AV46+4,FALSE),0)</f>
        <v/>
      </c>
      <c r="DE46">
        <f>IFERROR(VLOOKUP(DE$6,Hoja1!$F$2:$XFD$61,AW46+4,FALSE),0)</f>
        <v/>
      </c>
      <c r="DF46">
        <f>IFERROR(VLOOKUP(DF$6,Hoja1!$F$2:$XFD$61,AX46+4,FALSE),0)</f>
        <v/>
      </c>
      <c r="DG46">
        <f>IFERROR(VLOOKUP(DG$6,Hoja1!$F$2:$XFD$61,AY46+4,FALSE),0)</f>
        <v/>
      </c>
      <c r="DH46">
        <f>IFERROR(VLOOKUP(DH$6,Hoja1!$F$2:$XFD$61,AZ46+4,FALSE),0)</f>
        <v/>
      </c>
      <c r="DI46">
        <f>IFERROR(VLOOKUP(DI$6,Hoja1!$F$2:$XFD$61,BA46+4,FALSE),0)</f>
        <v/>
      </c>
      <c r="DJ46">
        <f>IFERROR(VLOOKUP(DJ$6,Hoja1!$F$2:$XFD$61,BB46+4,FALSE),0)</f>
        <v/>
      </c>
      <c r="DK46">
        <f>IFERROR(VLOOKUP(DK$6,Hoja1!$F$2:$XFD$61,BC46+4,FALSE),0)</f>
        <v/>
      </c>
      <c r="DL46">
        <f>IFERROR(VLOOKUP(DL$6,Hoja1!$F$2:$XFD$61,BD46+4,FALSE),0)</f>
        <v/>
      </c>
      <c r="DM46">
        <f>IFERROR(VLOOKUP(DM$6,Hoja1!$F$2:$XFD$61,BE46+4,FALSE),0)</f>
        <v/>
      </c>
      <c r="DN46">
        <f>IFERROR(VLOOKUP(DN$6,Hoja1!$F$2:$XFD$61,BF46+4,FALSE),0)</f>
        <v/>
      </c>
      <c r="DO46">
        <f>IFERROR(VLOOKUP(DO$6,Hoja1!$F$2:$XFD$61,BG46+4,FALSE),0)</f>
        <v/>
      </c>
      <c r="DP46">
        <f>IFERROR(VLOOKUP(DP$6,Hoja1!$F$2:$XFD$61,BH46+4,FALSE),0)</f>
        <v/>
      </c>
      <c r="DQ46">
        <f>IFERROR(VLOOKUP(DQ$6,Hoja1!$F$2:$XFD$61,BI46+4,FALSE),0)</f>
        <v/>
      </c>
      <c r="DR46">
        <f>IFERROR(VLOOKUP(DR$6,Hoja1!$F$2:$XFD$61,BJ46+4,FALSE),0)</f>
        <v/>
      </c>
      <c r="DS46">
        <f>IFERROR(VLOOKUP(DS$6,Hoja1!$F$2:$XFD$61,BK46+4,FALSE),0)</f>
        <v/>
      </c>
      <c r="DT46">
        <f>IFERROR(VLOOKUP(DT$6,Hoja1!$F$2:$XFD$61,BL46+4,FALSE),0)</f>
        <v/>
      </c>
      <c r="DU46" s="15">
        <f>IF(COUNT(E46:BL46)=$DV$7,IF(D46="","indique grupo",SUM(BM46:DT46)),"")</f>
        <v/>
      </c>
      <c r="DV46" s="16">
        <f>IF(D46&lt;&gt;"",IF(DU46="","",IF(DU46&gt;=$DU$7*Hoja1!$E$2,4+3/($DU$7*(1-Hoja1!$E$2))*(DU46-$DU$7*Hoja1!$E$2),1+3/($DU$7*Hoja1!$E$2)*DU46)),DU46)</f>
        <v/>
      </c>
      <c r="DW46" s="47" t="b">
        <v>0</v>
      </c>
    </row>
    <row r="47" ht="23.25" customHeight="1">
      <c r="A47" s="17" t="n">
        <v>38</v>
      </c>
      <c r="B47" s="18" t="inlineStr">
        <is>
          <t>URBINA CAUTIVO BENJAMIN ALEXANDER</t>
        </is>
      </c>
      <c r="C47" s="18" t="inlineStr">
        <is>
          <t>218650724</t>
        </is>
      </c>
      <c r="D47" s="1" t="n"/>
      <c r="E47" s="28" t="n"/>
      <c r="F47" s="19" t="n"/>
      <c r="G47" s="19" t="n"/>
      <c r="H47" s="19" t="n"/>
      <c r="I47" s="19" t="n"/>
      <c r="J47" s="19" t="n"/>
      <c r="K47" s="19" t="n"/>
      <c r="L47" s="19" t="n"/>
      <c r="M47" s="19" t="n"/>
      <c r="N47" s="19" t="n"/>
      <c r="O47" s="19" t="n"/>
      <c r="P47" s="19" t="n"/>
      <c r="Q47" s="19" t="n"/>
      <c r="R47" s="19" t="n"/>
      <c r="S47" s="19" t="n"/>
      <c r="T47" s="19" t="n"/>
      <c r="U47" s="19" t="n"/>
      <c r="V47" s="19" t="n"/>
      <c r="W47" s="19" t="n"/>
      <c r="X47" s="19" t="n"/>
      <c r="Y47" s="19" t="n"/>
      <c r="Z47" s="19" t="n"/>
      <c r="AA47" s="19" t="n"/>
      <c r="AB47" s="19" t="n"/>
      <c r="AC47" s="19" t="n"/>
      <c r="AD47" s="19" t="n"/>
      <c r="AE47" s="19" t="n"/>
      <c r="AF47" s="19" t="n"/>
      <c r="AG47" s="19" t="n"/>
      <c r="AH47" s="19" t="n"/>
      <c r="AI47" s="19" t="n"/>
      <c r="AJ47" s="19" t="n"/>
      <c r="AK47" s="19" t="n"/>
      <c r="AL47" s="19" t="n"/>
      <c r="AM47" s="19" t="n"/>
      <c r="AN47" s="19" t="n"/>
      <c r="AO47" s="19" t="n"/>
      <c r="AP47" s="19" t="n"/>
      <c r="AQ47" s="19" t="n"/>
      <c r="AR47" s="19" t="n"/>
      <c r="AS47" s="19" t="n"/>
      <c r="AT47" s="19" t="n"/>
      <c r="AU47" s="19" t="n"/>
      <c r="AV47" s="19" t="n"/>
      <c r="AW47" s="19" t="n"/>
      <c r="AX47" s="19" t="n"/>
      <c r="AY47" s="19" t="n"/>
      <c r="AZ47" s="19" t="n"/>
      <c r="BA47" s="19" t="n"/>
      <c r="BB47" s="19" t="n"/>
      <c r="BC47" s="19" t="n"/>
      <c r="BD47" s="19" t="n"/>
      <c r="BE47" s="19" t="n"/>
      <c r="BF47" s="19" t="n"/>
      <c r="BG47" s="19" t="n"/>
      <c r="BH47" s="19" t="n"/>
      <c r="BI47" s="19" t="n"/>
      <c r="BJ47" s="19" t="n"/>
      <c r="BK47" s="19" t="n"/>
      <c r="BL47" s="29" t="n"/>
      <c r="BM47">
        <f>IFERROR(VLOOKUP(BM$6,Hoja1!$F$2:$XFD$61,E47+4,FALSE),0)</f>
        <v/>
      </c>
      <c r="BN47">
        <f>IFERROR(VLOOKUP(BN$6,Hoja1!$F$2:$XFD$61,F47+4,FALSE),0)</f>
        <v/>
      </c>
      <c r="BO47">
        <f>IFERROR(VLOOKUP(BO$6,Hoja1!$F$2:$XFD$61,G47+4,FALSE),0)</f>
        <v/>
      </c>
      <c r="BP47">
        <f>IFERROR(VLOOKUP(BP$6,Hoja1!$F$2:$XFD$61,H47+4,FALSE),0)</f>
        <v/>
      </c>
      <c r="BQ47">
        <f>IFERROR(VLOOKUP(BQ$6,Hoja1!$F$2:$XFD$61,I47+4,FALSE),0)</f>
        <v/>
      </c>
      <c r="BR47">
        <f>IFERROR(VLOOKUP(BR$6,Hoja1!$F$2:$XFD$61,J47+4,FALSE),0)</f>
        <v/>
      </c>
      <c r="BS47">
        <f>IFERROR(VLOOKUP(BS$6,Hoja1!$F$2:$XFD$61,K47+4,FALSE),0)</f>
        <v/>
      </c>
      <c r="BT47">
        <f>IFERROR(VLOOKUP(BT$6,Hoja1!$F$2:$XFD$61,L47+4,FALSE),0)</f>
        <v/>
      </c>
      <c r="BU47">
        <f>IFERROR(VLOOKUP(BU$6,Hoja1!$F$2:$XFD$61,M47+4,FALSE),0)</f>
        <v/>
      </c>
      <c r="BV47">
        <f>IFERROR(VLOOKUP(BV$6,Hoja1!$F$2:$XFD$61,N47+4,FALSE),0)</f>
        <v/>
      </c>
      <c r="BW47">
        <f>IFERROR(VLOOKUP(BW$6,Hoja1!$F$2:$XFD$61,O47+4,FALSE),0)</f>
        <v/>
      </c>
      <c r="BX47">
        <f>IFERROR(VLOOKUP(BX$6,Hoja1!$F$2:$XFD$61,P47+4,FALSE),0)</f>
        <v/>
      </c>
      <c r="BY47">
        <f>IFERROR(VLOOKUP(BY$6,Hoja1!$F$2:$XFD$61,Q47+4,FALSE),0)</f>
        <v/>
      </c>
      <c r="BZ47">
        <f>IFERROR(VLOOKUP(BZ$6,Hoja1!$F$2:$XFD$61,R47+4,FALSE),0)</f>
        <v/>
      </c>
      <c r="CA47">
        <f>IFERROR(VLOOKUP(CA$6,Hoja1!$F$2:$XFD$61,S47+4,FALSE),0)</f>
        <v/>
      </c>
      <c r="CB47">
        <f>IFERROR(VLOOKUP(CB$6,Hoja1!$F$2:$XFD$61,T47+4,FALSE),0)</f>
        <v/>
      </c>
      <c r="CC47">
        <f>IFERROR(VLOOKUP(CC$6,Hoja1!$F$2:$XFD$61,U47+4,FALSE),0)</f>
        <v/>
      </c>
      <c r="CD47">
        <f>IFERROR(VLOOKUP(CD$6,Hoja1!$F$2:$XFD$61,V47+4,FALSE),0)</f>
        <v/>
      </c>
      <c r="CE47">
        <f>IFERROR(VLOOKUP(CE$6,Hoja1!$F$2:$XFD$61,W47+4,FALSE),0)</f>
        <v/>
      </c>
      <c r="CF47">
        <f>IFERROR(VLOOKUP(CF$6,Hoja1!$F$2:$XFD$61,X47+4,FALSE),0)</f>
        <v/>
      </c>
      <c r="CG47">
        <f>IFERROR(VLOOKUP(CG$6,Hoja1!$F$2:$XFD$61,Y47+4,FALSE),0)</f>
        <v/>
      </c>
      <c r="CH47">
        <f>IFERROR(VLOOKUP(CH$6,Hoja1!$F$2:$XFD$61,Z47+4,FALSE),0)</f>
        <v/>
      </c>
      <c r="CI47">
        <f>IFERROR(VLOOKUP(CI$6,Hoja1!$F$2:$XFD$61,AA47+4,FALSE),0)</f>
        <v/>
      </c>
      <c r="CJ47">
        <f>IFERROR(VLOOKUP(CJ$6,Hoja1!$F$2:$XFD$61,AB47+4,FALSE),0)</f>
        <v/>
      </c>
      <c r="CK47">
        <f>IFERROR(VLOOKUP(CK$6,Hoja1!$F$2:$XFD$61,AC47+4,FALSE),0)</f>
        <v/>
      </c>
      <c r="CL47">
        <f>IFERROR(VLOOKUP(CL$6,Hoja1!$F$2:$XFD$61,AD47+4,FALSE),0)</f>
        <v/>
      </c>
      <c r="CM47">
        <f>IFERROR(VLOOKUP(CM$6,Hoja1!$F$2:$XFD$61,AE47+4,FALSE),0)</f>
        <v/>
      </c>
      <c r="CN47">
        <f>IFERROR(VLOOKUP(CN$6,Hoja1!$F$2:$XFD$61,AF47+4,FALSE),0)</f>
        <v/>
      </c>
      <c r="CO47">
        <f>IFERROR(VLOOKUP(CO$6,Hoja1!$F$2:$XFD$61,AG47+4,FALSE),0)</f>
        <v/>
      </c>
      <c r="CP47">
        <f>IFERROR(VLOOKUP(CP$6,Hoja1!$F$2:$XFD$61,AH47+4,FALSE),0)</f>
        <v/>
      </c>
      <c r="CQ47">
        <f>IFERROR(VLOOKUP(CQ$6,Hoja1!$F$2:$XFD$61,AI47+4,FALSE),0)</f>
        <v/>
      </c>
      <c r="CR47">
        <f>IFERROR(VLOOKUP(CR$6,Hoja1!$F$2:$XFD$61,AJ47+4,FALSE),0)</f>
        <v/>
      </c>
      <c r="CS47">
        <f>IFERROR(VLOOKUP(CS$6,Hoja1!$F$2:$XFD$61,AK47+4,FALSE),0)</f>
        <v/>
      </c>
      <c r="CT47">
        <f>IFERROR(VLOOKUP(CT$6,Hoja1!$F$2:$XFD$61,AL47+4,FALSE),0)</f>
        <v/>
      </c>
      <c r="CU47">
        <f>IFERROR(VLOOKUP(CU$6,Hoja1!$F$2:$XFD$61,AM47+4,FALSE),0)</f>
        <v/>
      </c>
      <c r="CV47">
        <f>IFERROR(VLOOKUP(CV$6,Hoja1!$F$2:$XFD$61,AN47+4,FALSE),0)</f>
        <v/>
      </c>
      <c r="CW47">
        <f>IFERROR(VLOOKUP(CW$6,Hoja1!$F$2:$XFD$61,AO47+4,FALSE),0)</f>
        <v/>
      </c>
      <c r="CX47">
        <f>IFERROR(VLOOKUP(CX$6,Hoja1!$F$2:$XFD$61,AP47+4,FALSE),0)</f>
        <v/>
      </c>
      <c r="CY47">
        <f>IFERROR(VLOOKUP(CY$6,Hoja1!$F$2:$XFD$61,AQ47+4,FALSE),0)</f>
        <v/>
      </c>
      <c r="CZ47">
        <f>IFERROR(VLOOKUP(CZ$6,Hoja1!$F$2:$XFD$61,AR47+4,FALSE),0)</f>
        <v/>
      </c>
      <c r="DA47">
        <f>IFERROR(VLOOKUP(DA$6,Hoja1!$F$2:$XFD$61,AS47+4,FALSE),0)</f>
        <v/>
      </c>
      <c r="DB47">
        <f>IFERROR(VLOOKUP(DB$6,Hoja1!$F$2:$XFD$61,AT47+4,FALSE),0)</f>
        <v/>
      </c>
      <c r="DC47">
        <f>IFERROR(VLOOKUP(DC$6,Hoja1!$F$2:$XFD$61,AU47+4,FALSE),0)</f>
        <v/>
      </c>
      <c r="DD47">
        <f>IFERROR(VLOOKUP(DD$6,Hoja1!$F$2:$XFD$61,AV47+4,FALSE),0)</f>
        <v/>
      </c>
      <c r="DE47">
        <f>IFERROR(VLOOKUP(DE$6,Hoja1!$F$2:$XFD$61,AW47+4,FALSE),0)</f>
        <v/>
      </c>
      <c r="DF47">
        <f>IFERROR(VLOOKUP(DF$6,Hoja1!$F$2:$XFD$61,AX47+4,FALSE),0)</f>
        <v/>
      </c>
      <c r="DG47">
        <f>IFERROR(VLOOKUP(DG$6,Hoja1!$F$2:$XFD$61,AY47+4,FALSE),0)</f>
        <v/>
      </c>
      <c r="DH47">
        <f>IFERROR(VLOOKUP(DH$6,Hoja1!$F$2:$XFD$61,AZ47+4,FALSE),0)</f>
        <v/>
      </c>
      <c r="DI47">
        <f>IFERROR(VLOOKUP(DI$6,Hoja1!$F$2:$XFD$61,BA47+4,FALSE),0)</f>
        <v/>
      </c>
      <c r="DJ47">
        <f>IFERROR(VLOOKUP(DJ$6,Hoja1!$F$2:$XFD$61,BB47+4,FALSE),0)</f>
        <v/>
      </c>
      <c r="DK47">
        <f>IFERROR(VLOOKUP(DK$6,Hoja1!$F$2:$XFD$61,BC47+4,FALSE),0)</f>
        <v/>
      </c>
      <c r="DL47">
        <f>IFERROR(VLOOKUP(DL$6,Hoja1!$F$2:$XFD$61,BD47+4,FALSE),0)</f>
        <v/>
      </c>
      <c r="DM47">
        <f>IFERROR(VLOOKUP(DM$6,Hoja1!$F$2:$XFD$61,BE47+4,FALSE),0)</f>
        <v/>
      </c>
      <c r="DN47">
        <f>IFERROR(VLOOKUP(DN$6,Hoja1!$F$2:$XFD$61,BF47+4,FALSE),0)</f>
        <v/>
      </c>
      <c r="DO47">
        <f>IFERROR(VLOOKUP(DO$6,Hoja1!$F$2:$XFD$61,BG47+4,FALSE),0)</f>
        <v/>
      </c>
      <c r="DP47">
        <f>IFERROR(VLOOKUP(DP$6,Hoja1!$F$2:$XFD$61,BH47+4,FALSE),0)</f>
        <v/>
      </c>
      <c r="DQ47">
        <f>IFERROR(VLOOKUP(DQ$6,Hoja1!$F$2:$XFD$61,BI47+4,FALSE),0)</f>
        <v/>
      </c>
      <c r="DR47">
        <f>IFERROR(VLOOKUP(DR$6,Hoja1!$F$2:$XFD$61,BJ47+4,FALSE),0)</f>
        <v/>
      </c>
      <c r="DS47">
        <f>IFERROR(VLOOKUP(DS$6,Hoja1!$F$2:$XFD$61,BK47+4,FALSE),0)</f>
        <v/>
      </c>
      <c r="DT47">
        <f>IFERROR(VLOOKUP(DT$6,Hoja1!$F$2:$XFD$61,BL47+4,FALSE),0)</f>
        <v/>
      </c>
      <c r="DU47" s="15">
        <f>IF(COUNT(E47:BL47)=$DV$7,IF(D47="","indique grupo",SUM(BM47:DT47)),"")</f>
        <v/>
      </c>
      <c r="DV47" s="16">
        <f>IF(D47&lt;&gt;"",IF(DU47="","",IF(DU47&gt;=$DU$7*Hoja1!$E$2,4+3/($DU$7*(1-Hoja1!$E$2))*(DU47-$DU$7*Hoja1!$E$2),1+3/($DU$7*Hoja1!$E$2)*DU47)),DU47)</f>
        <v/>
      </c>
      <c r="DW47" s="47" t="b">
        <v>0</v>
      </c>
    </row>
    <row r="48" ht="23.25" customHeight="1">
      <c r="A48" s="17" t="n">
        <v>39</v>
      </c>
      <c r="B48" s="18" t="inlineStr">
        <is>
          <t>URREA PARRA MAIRA BELEN</t>
        </is>
      </c>
      <c r="C48" s="18" t="inlineStr">
        <is>
          <t>213073850</t>
        </is>
      </c>
      <c r="D48" s="1" t="n"/>
      <c r="E48" s="28" t="n"/>
      <c r="F48" s="19" t="n"/>
      <c r="G48" s="19" t="n"/>
      <c r="H48" s="19" t="n"/>
      <c r="I48" s="19" t="n"/>
      <c r="J48" s="19" t="n"/>
      <c r="K48" s="19" t="n"/>
      <c r="L48" s="19" t="n"/>
      <c r="M48" s="19" t="n"/>
      <c r="N48" s="19" t="n"/>
      <c r="O48" s="19" t="n"/>
      <c r="P48" s="19" t="n"/>
      <c r="Q48" s="19" t="n"/>
      <c r="R48" s="19" t="n"/>
      <c r="S48" s="19" t="n"/>
      <c r="T48" s="19" t="n"/>
      <c r="U48" s="19" t="n"/>
      <c r="V48" s="19" t="n"/>
      <c r="W48" s="19" t="n"/>
      <c r="X48" s="19" t="n"/>
      <c r="Y48" s="19" t="n"/>
      <c r="Z48" s="19" t="n"/>
      <c r="AA48" s="19" t="n"/>
      <c r="AB48" s="19" t="n"/>
      <c r="AC48" s="19" t="n"/>
      <c r="AD48" s="19" t="n"/>
      <c r="AE48" s="19" t="n"/>
      <c r="AF48" s="19" t="n"/>
      <c r="AG48" s="19" t="n"/>
      <c r="AH48" s="19" t="n"/>
      <c r="AI48" s="19" t="n"/>
      <c r="AJ48" s="19" t="n"/>
      <c r="AK48" s="19" t="n"/>
      <c r="AL48" s="19" t="n"/>
      <c r="AM48" s="19" t="n"/>
      <c r="AN48" s="19" t="n"/>
      <c r="AO48" s="19" t="n"/>
      <c r="AP48" s="19" t="n"/>
      <c r="AQ48" s="19" t="n"/>
      <c r="AR48" s="19" t="n"/>
      <c r="AS48" s="19" t="n"/>
      <c r="AT48" s="19" t="n"/>
      <c r="AU48" s="19" t="n"/>
      <c r="AV48" s="19" t="n"/>
      <c r="AW48" s="19" t="n"/>
      <c r="AX48" s="19" t="n"/>
      <c r="AY48" s="19" t="n"/>
      <c r="AZ48" s="19" t="n"/>
      <c r="BA48" s="19" t="n"/>
      <c r="BB48" s="19" t="n"/>
      <c r="BC48" s="19" t="n"/>
      <c r="BD48" s="19" t="n"/>
      <c r="BE48" s="19" t="n"/>
      <c r="BF48" s="19" t="n"/>
      <c r="BG48" s="19" t="n"/>
      <c r="BH48" s="19" t="n"/>
      <c r="BI48" s="19" t="n"/>
      <c r="BJ48" s="19" t="n"/>
      <c r="BK48" s="19" t="n"/>
      <c r="BL48" s="29" t="n"/>
      <c r="BM48">
        <f>IFERROR(VLOOKUP(BM$6,Hoja1!$F$2:$XFD$61,E48+4,FALSE),0)</f>
        <v/>
      </c>
      <c r="BN48">
        <f>IFERROR(VLOOKUP(BN$6,Hoja1!$F$2:$XFD$61,F48+4,FALSE),0)</f>
        <v/>
      </c>
      <c r="BO48">
        <f>IFERROR(VLOOKUP(BO$6,Hoja1!$F$2:$XFD$61,G48+4,FALSE),0)</f>
        <v/>
      </c>
      <c r="BP48">
        <f>IFERROR(VLOOKUP(BP$6,Hoja1!$F$2:$XFD$61,H48+4,FALSE),0)</f>
        <v/>
      </c>
      <c r="BQ48">
        <f>IFERROR(VLOOKUP(BQ$6,Hoja1!$F$2:$XFD$61,I48+4,FALSE),0)</f>
        <v/>
      </c>
      <c r="BR48">
        <f>IFERROR(VLOOKUP(BR$6,Hoja1!$F$2:$XFD$61,J48+4,FALSE),0)</f>
        <v/>
      </c>
      <c r="BS48">
        <f>IFERROR(VLOOKUP(BS$6,Hoja1!$F$2:$XFD$61,K48+4,FALSE),0)</f>
        <v/>
      </c>
      <c r="BT48">
        <f>IFERROR(VLOOKUP(BT$6,Hoja1!$F$2:$XFD$61,L48+4,FALSE),0)</f>
        <v/>
      </c>
      <c r="BU48">
        <f>IFERROR(VLOOKUP(BU$6,Hoja1!$F$2:$XFD$61,M48+4,FALSE),0)</f>
        <v/>
      </c>
      <c r="BV48">
        <f>IFERROR(VLOOKUP(BV$6,Hoja1!$F$2:$XFD$61,N48+4,FALSE),0)</f>
        <v/>
      </c>
      <c r="BW48">
        <f>IFERROR(VLOOKUP(BW$6,Hoja1!$F$2:$XFD$61,O48+4,FALSE),0)</f>
        <v/>
      </c>
      <c r="BX48">
        <f>IFERROR(VLOOKUP(BX$6,Hoja1!$F$2:$XFD$61,P48+4,FALSE),0)</f>
        <v/>
      </c>
      <c r="BY48">
        <f>IFERROR(VLOOKUP(BY$6,Hoja1!$F$2:$XFD$61,Q48+4,FALSE),0)</f>
        <v/>
      </c>
      <c r="BZ48">
        <f>IFERROR(VLOOKUP(BZ$6,Hoja1!$F$2:$XFD$61,R48+4,FALSE),0)</f>
        <v/>
      </c>
      <c r="CA48">
        <f>IFERROR(VLOOKUP(CA$6,Hoja1!$F$2:$XFD$61,S48+4,FALSE),0)</f>
        <v/>
      </c>
      <c r="CB48">
        <f>IFERROR(VLOOKUP(CB$6,Hoja1!$F$2:$XFD$61,T48+4,FALSE),0)</f>
        <v/>
      </c>
      <c r="CC48">
        <f>IFERROR(VLOOKUP(CC$6,Hoja1!$F$2:$XFD$61,U48+4,FALSE),0)</f>
        <v/>
      </c>
      <c r="CD48">
        <f>IFERROR(VLOOKUP(CD$6,Hoja1!$F$2:$XFD$61,V48+4,FALSE),0)</f>
        <v/>
      </c>
      <c r="CE48">
        <f>IFERROR(VLOOKUP(CE$6,Hoja1!$F$2:$XFD$61,W48+4,FALSE),0)</f>
        <v/>
      </c>
      <c r="CF48">
        <f>IFERROR(VLOOKUP(CF$6,Hoja1!$F$2:$XFD$61,X48+4,FALSE),0)</f>
        <v/>
      </c>
      <c r="CG48">
        <f>IFERROR(VLOOKUP(CG$6,Hoja1!$F$2:$XFD$61,Y48+4,FALSE),0)</f>
        <v/>
      </c>
      <c r="CH48">
        <f>IFERROR(VLOOKUP(CH$6,Hoja1!$F$2:$XFD$61,Z48+4,FALSE),0)</f>
        <v/>
      </c>
      <c r="CI48">
        <f>IFERROR(VLOOKUP(CI$6,Hoja1!$F$2:$XFD$61,AA48+4,FALSE),0)</f>
        <v/>
      </c>
      <c r="CJ48">
        <f>IFERROR(VLOOKUP(CJ$6,Hoja1!$F$2:$XFD$61,AB48+4,FALSE),0)</f>
        <v/>
      </c>
      <c r="CK48">
        <f>IFERROR(VLOOKUP(CK$6,Hoja1!$F$2:$XFD$61,AC48+4,FALSE),0)</f>
        <v/>
      </c>
      <c r="CL48">
        <f>IFERROR(VLOOKUP(CL$6,Hoja1!$F$2:$XFD$61,AD48+4,FALSE),0)</f>
        <v/>
      </c>
      <c r="CM48">
        <f>IFERROR(VLOOKUP(CM$6,Hoja1!$F$2:$XFD$61,AE48+4,FALSE),0)</f>
        <v/>
      </c>
      <c r="CN48">
        <f>IFERROR(VLOOKUP(CN$6,Hoja1!$F$2:$XFD$61,AF48+4,FALSE),0)</f>
        <v/>
      </c>
      <c r="CO48">
        <f>IFERROR(VLOOKUP(CO$6,Hoja1!$F$2:$XFD$61,AG48+4,FALSE),0)</f>
        <v/>
      </c>
      <c r="CP48">
        <f>IFERROR(VLOOKUP(CP$6,Hoja1!$F$2:$XFD$61,AH48+4,FALSE),0)</f>
        <v/>
      </c>
      <c r="CQ48">
        <f>IFERROR(VLOOKUP(CQ$6,Hoja1!$F$2:$XFD$61,AI48+4,FALSE),0)</f>
        <v/>
      </c>
      <c r="CR48">
        <f>IFERROR(VLOOKUP(CR$6,Hoja1!$F$2:$XFD$61,AJ48+4,FALSE),0)</f>
        <v/>
      </c>
      <c r="CS48">
        <f>IFERROR(VLOOKUP(CS$6,Hoja1!$F$2:$XFD$61,AK48+4,FALSE),0)</f>
        <v/>
      </c>
      <c r="CT48">
        <f>IFERROR(VLOOKUP(CT$6,Hoja1!$F$2:$XFD$61,AL48+4,FALSE),0)</f>
        <v/>
      </c>
      <c r="CU48">
        <f>IFERROR(VLOOKUP(CU$6,Hoja1!$F$2:$XFD$61,AM48+4,FALSE),0)</f>
        <v/>
      </c>
      <c r="CV48">
        <f>IFERROR(VLOOKUP(CV$6,Hoja1!$F$2:$XFD$61,AN48+4,FALSE),0)</f>
        <v/>
      </c>
      <c r="CW48">
        <f>IFERROR(VLOOKUP(CW$6,Hoja1!$F$2:$XFD$61,AO48+4,FALSE),0)</f>
        <v/>
      </c>
      <c r="CX48">
        <f>IFERROR(VLOOKUP(CX$6,Hoja1!$F$2:$XFD$61,AP48+4,FALSE),0)</f>
        <v/>
      </c>
      <c r="CY48">
        <f>IFERROR(VLOOKUP(CY$6,Hoja1!$F$2:$XFD$61,AQ48+4,FALSE),0)</f>
        <v/>
      </c>
      <c r="CZ48">
        <f>IFERROR(VLOOKUP(CZ$6,Hoja1!$F$2:$XFD$61,AR48+4,FALSE),0)</f>
        <v/>
      </c>
      <c r="DA48">
        <f>IFERROR(VLOOKUP(DA$6,Hoja1!$F$2:$XFD$61,AS48+4,FALSE),0)</f>
        <v/>
      </c>
      <c r="DB48">
        <f>IFERROR(VLOOKUP(DB$6,Hoja1!$F$2:$XFD$61,AT48+4,FALSE),0)</f>
        <v/>
      </c>
      <c r="DC48">
        <f>IFERROR(VLOOKUP(DC$6,Hoja1!$F$2:$XFD$61,AU48+4,FALSE),0)</f>
        <v/>
      </c>
      <c r="DD48">
        <f>IFERROR(VLOOKUP(DD$6,Hoja1!$F$2:$XFD$61,AV48+4,FALSE),0)</f>
        <v/>
      </c>
      <c r="DE48">
        <f>IFERROR(VLOOKUP(DE$6,Hoja1!$F$2:$XFD$61,AW48+4,FALSE),0)</f>
        <v/>
      </c>
      <c r="DF48">
        <f>IFERROR(VLOOKUP(DF$6,Hoja1!$F$2:$XFD$61,AX48+4,FALSE),0)</f>
        <v/>
      </c>
      <c r="DG48">
        <f>IFERROR(VLOOKUP(DG$6,Hoja1!$F$2:$XFD$61,AY48+4,FALSE),0)</f>
        <v/>
      </c>
      <c r="DH48">
        <f>IFERROR(VLOOKUP(DH$6,Hoja1!$F$2:$XFD$61,AZ48+4,FALSE),0)</f>
        <v/>
      </c>
      <c r="DI48">
        <f>IFERROR(VLOOKUP(DI$6,Hoja1!$F$2:$XFD$61,BA48+4,FALSE),0)</f>
        <v/>
      </c>
      <c r="DJ48">
        <f>IFERROR(VLOOKUP(DJ$6,Hoja1!$F$2:$XFD$61,BB48+4,FALSE),0)</f>
        <v/>
      </c>
      <c r="DK48">
        <f>IFERROR(VLOOKUP(DK$6,Hoja1!$F$2:$XFD$61,BC48+4,FALSE),0)</f>
        <v/>
      </c>
      <c r="DL48">
        <f>IFERROR(VLOOKUP(DL$6,Hoja1!$F$2:$XFD$61,BD48+4,FALSE),0)</f>
        <v/>
      </c>
      <c r="DM48">
        <f>IFERROR(VLOOKUP(DM$6,Hoja1!$F$2:$XFD$61,BE48+4,FALSE),0)</f>
        <v/>
      </c>
      <c r="DN48">
        <f>IFERROR(VLOOKUP(DN$6,Hoja1!$F$2:$XFD$61,BF48+4,FALSE),0)</f>
        <v/>
      </c>
      <c r="DO48">
        <f>IFERROR(VLOOKUP(DO$6,Hoja1!$F$2:$XFD$61,BG48+4,FALSE),0)</f>
        <v/>
      </c>
      <c r="DP48">
        <f>IFERROR(VLOOKUP(DP$6,Hoja1!$F$2:$XFD$61,BH48+4,FALSE),0)</f>
        <v/>
      </c>
      <c r="DQ48">
        <f>IFERROR(VLOOKUP(DQ$6,Hoja1!$F$2:$XFD$61,BI48+4,FALSE),0)</f>
        <v/>
      </c>
      <c r="DR48">
        <f>IFERROR(VLOOKUP(DR$6,Hoja1!$F$2:$XFD$61,BJ48+4,FALSE),0)</f>
        <v/>
      </c>
      <c r="DS48">
        <f>IFERROR(VLOOKUP(DS$6,Hoja1!$F$2:$XFD$61,BK48+4,FALSE),0)</f>
        <v/>
      </c>
      <c r="DT48">
        <f>IFERROR(VLOOKUP(DT$6,Hoja1!$F$2:$XFD$61,BL48+4,FALSE),0)</f>
        <v/>
      </c>
      <c r="DU48" s="15">
        <f>IF(COUNT(E48:BL48)=$DV$7,IF(D48="","indique grupo",SUM(BM48:DT48)),"")</f>
        <v/>
      </c>
      <c r="DV48" s="16">
        <f>IF(D48&lt;&gt;"",IF(DU48="","",IF(DU48&gt;=$DU$7*Hoja1!$E$2,4+3/($DU$7*(1-Hoja1!$E$2))*(DU48-$DU$7*Hoja1!$E$2),1+3/($DU$7*Hoja1!$E$2)*DU48)),DU48)</f>
        <v/>
      </c>
      <c r="DW48" s="47" t="b">
        <v>0</v>
      </c>
    </row>
    <row r="49" ht="23.25" customHeight="1">
      <c r="A49" s="17" t="n">
        <v>40</v>
      </c>
      <c r="B49" s="18" t="inlineStr">
        <is>
          <t>VALENCIA LLANCAPANI RODRIGO CRISTOFER</t>
        </is>
      </c>
      <c r="C49" s="18" t="inlineStr">
        <is>
          <t>212586374</t>
        </is>
      </c>
      <c r="D49" s="1" t="n"/>
      <c r="E49" s="28" t="n"/>
      <c r="F49" s="19" t="n"/>
      <c r="G49" s="19" t="n"/>
      <c r="H49" s="19" t="n"/>
      <c r="I49" s="19" t="n"/>
      <c r="J49" s="19" t="n"/>
      <c r="K49" s="19" t="n"/>
      <c r="L49" s="19" t="n"/>
      <c r="M49" s="19" t="n"/>
      <c r="N49" s="19" t="n"/>
      <c r="O49" s="19" t="n"/>
      <c r="P49" s="19" t="n"/>
      <c r="Q49" s="19" t="n"/>
      <c r="R49" s="19" t="n"/>
      <c r="S49" s="19" t="n"/>
      <c r="T49" s="19" t="n"/>
      <c r="U49" s="19" t="n"/>
      <c r="V49" s="19" t="n"/>
      <c r="W49" s="19" t="n"/>
      <c r="X49" s="19" t="n"/>
      <c r="Y49" s="19" t="n"/>
      <c r="Z49" s="19" t="n"/>
      <c r="AA49" s="19" t="n"/>
      <c r="AB49" s="19" t="n"/>
      <c r="AC49" s="19" t="n"/>
      <c r="AD49" s="19" t="n"/>
      <c r="AE49" s="19" t="n"/>
      <c r="AF49" s="19" t="n"/>
      <c r="AG49" s="19" t="n"/>
      <c r="AH49" s="19" t="n"/>
      <c r="AI49" s="19" t="n"/>
      <c r="AJ49" s="19" t="n"/>
      <c r="AK49" s="19" t="n"/>
      <c r="AL49" s="19" t="n"/>
      <c r="AM49" s="19" t="n"/>
      <c r="AN49" s="19" t="n"/>
      <c r="AO49" s="19" t="n"/>
      <c r="AP49" s="19" t="n"/>
      <c r="AQ49" s="19" t="n"/>
      <c r="AR49" s="19" t="n"/>
      <c r="AS49" s="19" t="n"/>
      <c r="AT49" s="19" t="n"/>
      <c r="AU49" s="19" t="n"/>
      <c r="AV49" s="19" t="n"/>
      <c r="AW49" s="19" t="n"/>
      <c r="AX49" s="19" t="n"/>
      <c r="AY49" s="19" t="n"/>
      <c r="AZ49" s="19" t="n"/>
      <c r="BA49" s="19" t="n"/>
      <c r="BB49" s="19" t="n"/>
      <c r="BC49" s="19" t="n"/>
      <c r="BD49" s="19" t="n"/>
      <c r="BE49" s="19" t="n"/>
      <c r="BF49" s="19" t="n"/>
      <c r="BG49" s="19" t="n"/>
      <c r="BH49" s="19" t="n"/>
      <c r="BI49" s="19" t="n"/>
      <c r="BJ49" s="19" t="n"/>
      <c r="BK49" s="19" t="n"/>
      <c r="BL49" s="29" t="n"/>
      <c r="BM49">
        <f>IFERROR(VLOOKUP(BM$6,Hoja1!$F$2:$XFD$61,E49+4,FALSE),0)</f>
        <v/>
      </c>
      <c r="BN49">
        <f>IFERROR(VLOOKUP(BN$6,Hoja1!$F$2:$XFD$61,F49+4,FALSE),0)</f>
        <v/>
      </c>
      <c r="BO49">
        <f>IFERROR(VLOOKUP(BO$6,Hoja1!$F$2:$XFD$61,G49+4,FALSE),0)</f>
        <v/>
      </c>
      <c r="BP49">
        <f>IFERROR(VLOOKUP(BP$6,Hoja1!$F$2:$XFD$61,H49+4,FALSE),0)</f>
        <v/>
      </c>
      <c r="BQ49">
        <f>IFERROR(VLOOKUP(BQ$6,Hoja1!$F$2:$XFD$61,I49+4,FALSE),0)</f>
        <v/>
      </c>
      <c r="BR49">
        <f>IFERROR(VLOOKUP(BR$6,Hoja1!$F$2:$XFD$61,J49+4,FALSE),0)</f>
        <v/>
      </c>
      <c r="BS49">
        <f>IFERROR(VLOOKUP(BS$6,Hoja1!$F$2:$XFD$61,K49+4,FALSE),0)</f>
        <v/>
      </c>
      <c r="BT49">
        <f>IFERROR(VLOOKUP(BT$6,Hoja1!$F$2:$XFD$61,L49+4,FALSE),0)</f>
        <v/>
      </c>
      <c r="BU49">
        <f>IFERROR(VLOOKUP(BU$6,Hoja1!$F$2:$XFD$61,M49+4,FALSE),0)</f>
        <v/>
      </c>
      <c r="BV49">
        <f>IFERROR(VLOOKUP(BV$6,Hoja1!$F$2:$XFD$61,N49+4,FALSE),0)</f>
        <v/>
      </c>
      <c r="BW49">
        <f>IFERROR(VLOOKUP(BW$6,Hoja1!$F$2:$XFD$61,O49+4,FALSE),0)</f>
        <v/>
      </c>
      <c r="BX49">
        <f>IFERROR(VLOOKUP(BX$6,Hoja1!$F$2:$XFD$61,P49+4,FALSE),0)</f>
        <v/>
      </c>
      <c r="BY49">
        <f>IFERROR(VLOOKUP(BY$6,Hoja1!$F$2:$XFD$61,Q49+4,FALSE),0)</f>
        <v/>
      </c>
      <c r="BZ49">
        <f>IFERROR(VLOOKUP(BZ$6,Hoja1!$F$2:$XFD$61,R49+4,FALSE),0)</f>
        <v/>
      </c>
      <c r="CA49">
        <f>IFERROR(VLOOKUP(CA$6,Hoja1!$F$2:$XFD$61,S49+4,FALSE),0)</f>
        <v/>
      </c>
      <c r="CB49">
        <f>IFERROR(VLOOKUP(CB$6,Hoja1!$F$2:$XFD$61,T49+4,FALSE),0)</f>
        <v/>
      </c>
      <c r="CC49">
        <f>IFERROR(VLOOKUP(CC$6,Hoja1!$F$2:$XFD$61,U49+4,FALSE),0)</f>
        <v/>
      </c>
      <c r="CD49">
        <f>IFERROR(VLOOKUP(CD$6,Hoja1!$F$2:$XFD$61,V49+4,FALSE),0)</f>
        <v/>
      </c>
      <c r="CE49">
        <f>IFERROR(VLOOKUP(CE$6,Hoja1!$F$2:$XFD$61,W49+4,FALSE),0)</f>
        <v/>
      </c>
      <c r="CF49">
        <f>IFERROR(VLOOKUP(CF$6,Hoja1!$F$2:$XFD$61,X49+4,FALSE),0)</f>
        <v/>
      </c>
      <c r="CG49">
        <f>IFERROR(VLOOKUP(CG$6,Hoja1!$F$2:$XFD$61,Y49+4,FALSE),0)</f>
        <v/>
      </c>
      <c r="CH49">
        <f>IFERROR(VLOOKUP(CH$6,Hoja1!$F$2:$XFD$61,Z49+4,FALSE),0)</f>
        <v/>
      </c>
      <c r="CI49">
        <f>IFERROR(VLOOKUP(CI$6,Hoja1!$F$2:$XFD$61,AA49+4,FALSE),0)</f>
        <v/>
      </c>
      <c r="CJ49">
        <f>IFERROR(VLOOKUP(CJ$6,Hoja1!$F$2:$XFD$61,AB49+4,FALSE),0)</f>
        <v/>
      </c>
      <c r="CK49">
        <f>IFERROR(VLOOKUP(CK$6,Hoja1!$F$2:$XFD$61,AC49+4,FALSE),0)</f>
        <v/>
      </c>
      <c r="CL49">
        <f>IFERROR(VLOOKUP(CL$6,Hoja1!$F$2:$XFD$61,AD49+4,FALSE),0)</f>
        <v/>
      </c>
      <c r="CM49">
        <f>IFERROR(VLOOKUP(CM$6,Hoja1!$F$2:$XFD$61,AE49+4,FALSE),0)</f>
        <v/>
      </c>
      <c r="CN49">
        <f>IFERROR(VLOOKUP(CN$6,Hoja1!$F$2:$XFD$61,AF49+4,FALSE),0)</f>
        <v/>
      </c>
      <c r="CO49">
        <f>IFERROR(VLOOKUP(CO$6,Hoja1!$F$2:$XFD$61,AG49+4,FALSE),0)</f>
        <v/>
      </c>
      <c r="CP49">
        <f>IFERROR(VLOOKUP(CP$6,Hoja1!$F$2:$XFD$61,AH49+4,FALSE),0)</f>
        <v/>
      </c>
      <c r="CQ49">
        <f>IFERROR(VLOOKUP(CQ$6,Hoja1!$F$2:$XFD$61,AI49+4,FALSE),0)</f>
        <v/>
      </c>
      <c r="CR49">
        <f>IFERROR(VLOOKUP(CR$6,Hoja1!$F$2:$XFD$61,AJ49+4,FALSE),0)</f>
        <v/>
      </c>
      <c r="CS49">
        <f>IFERROR(VLOOKUP(CS$6,Hoja1!$F$2:$XFD$61,AK49+4,FALSE),0)</f>
        <v/>
      </c>
      <c r="CT49">
        <f>IFERROR(VLOOKUP(CT$6,Hoja1!$F$2:$XFD$61,AL49+4,FALSE),0)</f>
        <v/>
      </c>
      <c r="CU49">
        <f>IFERROR(VLOOKUP(CU$6,Hoja1!$F$2:$XFD$61,AM49+4,FALSE),0)</f>
        <v/>
      </c>
      <c r="CV49">
        <f>IFERROR(VLOOKUP(CV$6,Hoja1!$F$2:$XFD$61,AN49+4,FALSE),0)</f>
        <v/>
      </c>
      <c r="CW49">
        <f>IFERROR(VLOOKUP(CW$6,Hoja1!$F$2:$XFD$61,AO49+4,FALSE),0)</f>
        <v/>
      </c>
      <c r="CX49">
        <f>IFERROR(VLOOKUP(CX$6,Hoja1!$F$2:$XFD$61,AP49+4,FALSE),0)</f>
        <v/>
      </c>
      <c r="CY49">
        <f>IFERROR(VLOOKUP(CY$6,Hoja1!$F$2:$XFD$61,AQ49+4,FALSE),0)</f>
        <v/>
      </c>
      <c r="CZ49">
        <f>IFERROR(VLOOKUP(CZ$6,Hoja1!$F$2:$XFD$61,AR49+4,FALSE),0)</f>
        <v/>
      </c>
      <c r="DA49">
        <f>IFERROR(VLOOKUP(DA$6,Hoja1!$F$2:$XFD$61,AS49+4,FALSE),0)</f>
        <v/>
      </c>
      <c r="DB49">
        <f>IFERROR(VLOOKUP(DB$6,Hoja1!$F$2:$XFD$61,AT49+4,FALSE),0)</f>
        <v/>
      </c>
      <c r="DC49">
        <f>IFERROR(VLOOKUP(DC$6,Hoja1!$F$2:$XFD$61,AU49+4,FALSE),0)</f>
        <v/>
      </c>
      <c r="DD49">
        <f>IFERROR(VLOOKUP(DD$6,Hoja1!$F$2:$XFD$61,AV49+4,FALSE),0)</f>
        <v/>
      </c>
      <c r="DE49">
        <f>IFERROR(VLOOKUP(DE$6,Hoja1!$F$2:$XFD$61,AW49+4,FALSE),0)</f>
        <v/>
      </c>
      <c r="DF49">
        <f>IFERROR(VLOOKUP(DF$6,Hoja1!$F$2:$XFD$61,AX49+4,FALSE),0)</f>
        <v/>
      </c>
      <c r="DG49">
        <f>IFERROR(VLOOKUP(DG$6,Hoja1!$F$2:$XFD$61,AY49+4,FALSE),0)</f>
        <v/>
      </c>
      <c r="DH49">
        <f>IFERROR(VLOOKUP(DH$6,Hoja1!$F$2:$XFD$61,AZ49+4,FALSE),0)</f>
        <v/>
      </c>
      <c r="DI49">
        <f>IFERROR(VLOOKUP(DI$6,Hoja1!$F$2:$XFD$61,BA49+4,FALSE),0)</f>
        <v/>
      </c>
      <c r="DJ49">
        <f>IFERROR(VLOOKUP(DJ$6,Hoja1!$F$2:$XFD$61,BB49+4,FALSE),0)</f>
        <v/>
      </c>
      <c r="DK49">
        <f>IFERROR(VLOOKUP(DK$6,Hoja1!$F$2:$XFD$61,BC49+4,FALSE),0)</f>
        <v/>
      </c>
      <c r="DL49">
        <f>IFERROR(VLOOKUP(DL$6,Hoja1!$F$2:$XFD$61,BD49+4,FALSE),0)</f>
        <v/>
      </c>
      <c r="DM49">
        <f>IFERROR(VLOOKUP(DM$6,Hoja1!$F$2:$XFD$61,BE49+4,FALSE),0)</f>
        <v/>
      </c>
      <c r="DN49">
        <f>IFERROR(VLOOKUP(DN$6,Hoja1!$F$2:$XFD$61,BF49+4,FALSE),0)</f>
        <v/>
      </c>
      <c r="DO49">
        <f>IFERROR(VLOOKUP(DO$6,Hoja1!$F$2:$XFD$61,BG49+4,FALSE),0)</f>
        <v/>
      </c>
      <c r="DP49">
        <f>IFERROR(VLOOKUP(DP$6,Hoja1!$F$2:$XFD$61,BH49+4,FALSE),0)</f>
        <v/>
      </c>
      <c r="DQ49">
        <f>IFERROR(VLOOKUP(DQ$6,Hoja1!$F$2:$XFD$61,BI49+4,FALSE),0)</f>
        <v/>
      </c>
      <c r="DR49">
        <f>IFERROR(VLOOKUP(DR$6,Hoja1!$F$2:$XFD$61,BJ49+4,FALSE),0)</f>
        <v/>
      </c>
      <c r="DS49">
        <f>IFERROR(VLOOKUP(DS$6,Hoja1!$F$2:$XFD$61,BK49+4,FALSE),0)</f>
        <v/>
      </c>
      <c r="DT49">
        <f>IFERROR(VLOOKUP(DT$6,Hoja1!$F$2:$XFD$61,BL49+4,FALSE),0)</f>
        <v/>
      </c>
      <c r="DU49" s="15">
        <f>IF(COUNT(E49:BL49)=$DV$7,IF(D49="","indique grupo",SUM(BM49:DT49)),"")</f>
        <v/>
      </c>
      <c r="DV49" s="16">
        <f>IF(D49&lt;&gt;"",IF(DU49="","",IF(DU49&gt;=$DU$7*Hoja1!$E$2,4+3/($DU$7*(1-Hoja1!$E$2))*(DU49-$DU$7*Hoja1!$E$2),1+3/($DU$7*Hoja1!$E$2)*DU49)),DU49)</f>
        <v/>
      </c>
      <c r="DW49" s="47" t="b">
        <v>0</v>
      </c>
    </row>
    <row r="50" ht="23.25" customHeight="1">
      <c r="A50" s="17" t="n">
        <v>41</v>
      </c>
      <c r="B50" s="18" t="inlineStr">
        <is>
          <t>VELASQUEZ ARCE ALVARO GABRIEL</t>
        </is>
      </c>
      <c r="C50" s="18" t="inlineStr">
        <is>
          <t>207257583</t>
        </is>
      </c>
      <c r="D50" s="1" t="n"/>
      <c r="E50" s="28" t="n"/>
      <c r="F50" s="19" t="n"/>
      <c r="G50" s="19" t="n"/>
      <c r="H50" s="19" t="n"/>
      <c r="I50" s="19" t="n"/>
      <c r="J50" s="19" t="n"/>
      <c r="K50" s="19" t="n"/>
      <c r="L50" s="19" t="n"/>
      <c r="M50" s="19" t="n"/>
      <c r="N50" s="19" t="n"/>
      <c r="O50" s="19" t="n"/>
      <c r="P50" s="19" t="n"/>
      <c r="Q50" s="19" t="n"/>
      <c r="R50" s="19" t="n"/>
      <c r="S50" s="19" t="n"/>
      <c r="T50" s="19" t="n"/>
      <c r="U50" s="19" t="n"/>
      <c r="V50" s="19" t="n"/>
      <c r="W50" s="19" t="n"/>
      <c r="X50" s="19" t="n"/>
      <c r="Y50" s="19" t="n"/>
      <c r="Z50" s="19" t="n"/>
      <c r="AA50" s="19" t="n"/>
      <c r="AB50" s="19" t="n"/>
      <c r="AC50" s="19" t="n"/>
      <c r="AD50" s="19" t="n"/>
      <c r="AE50" s="19" t="n"/>
      <c r="AF50" s="19" t="n"/>
      <c r="AG50" s="19" t="n"/>
      <c r="AH50" s="19" t="n"/>
      <c r="AI50" s="19" t="n"/>
      <c r="AJ50" s="19" t="n"/>
      <c r="AK50" s="19" t="n"/>
      <c r="AL50" s="19" t="n"/>
      <c r="AM50" s="19" t="n"/>
      <c r="AN50" s="19" t="n"/>
      <c r="AO50" s="19" t="n"/>
      <c r="AP50" s="19" t="n"/>
      <c r="AQ50" s="19" t="n"/>
      <c r="AR50" s="19" t="n"/>
      <c r="AS50" s="19" t="n"/>
      <c r="AT50" s="19" t="n"/>
      <c r="AU50" s="19" t="n"/>
      <c r="AV50" s="19" t="n"/>
      <c r="AW50" s="19" t="n"/>
      <c r="AX50" s="19" t="n"/>
      <c r="AY50" s="19" t="n"/>
      <c r="AZ50" s="19" t="n"/>
      <c r="BA50" s="19" t="n"/>
      <c r="BB50" s="19" t="n"/>
      <c r="BC50" s="19" t="n"/>
      <c r="BD50" s="19" t="n"/>
      <c r="BE50" s="19" t="n"/>
      <c r="BF50" s="19" t="n"/>
      <c r="BG50" s="19" t="n"/>
      <c r="BH50" s="19" t="n"/>
      <c r="BI50" s="19" t="n"/>
      <c r="BJ50" s="19" t="n"/>
      <c r="BK50" s="19" t="n"/>
      <c r="BL50" s="29" t="n"/>
      <c r="BM50">
        <f>IFERROR(VLOOKUP(BM$6,Hoja1!$F$2:$XFD$61,E50+4,FALSE),0)</f>
        <v/>
      </c>
      <c r="BN50">
        <f>IFERROR(VLOOKUP(BN$6,Hoja1!$F$2:$XFD$61,F50+4,FALSE),0)</f>
        <v/>
      </c>
      <c r="BO50">
        <f>IFERROR(VLOOKUP(BO$6,Hoja1!$F$2:$XFD$61,G50+4,FALSE),0)</f>
        <v/>
      </c>
      <c r="BP50">
        <f>IFERROR(VLOOKUP(BP$6,Hoja1!$F$2:$XFD$61,H50+4,FALSE),0)</f>
        <v/>
      </c>
      <c r="BQ50">
        <f>IFERROR(VLOOKUP(BQ$6,Hoja1!$F$2:$XFD$61,I50+4,FALSE),0)</f>
        <v/>
      </c>
      <c r="BR50">
        <f>IFERROR(VLOOKUP(BR$6,Hoja1!$F$2:$XFD$61,J50+4,FALSE),0)</f>
        <v/>
      </c>
      <c r="BS50">
        <f>IFERROR(VLOOKUP(BS$6,Hoja1!$F$2:$XFD$61,K50+4,FALSE),0)</f>
        <v/>
      </c>
      <c r="BT50">
        <f>IFERROR(VLOOKUP(BT$6,Hoja1!$F$2:$XFD$61,L50+4,FALSE),0)</f>
        <v/>
      </c>
      <c r="BU50">
        <f>IFERROR(VLOOKUP(BU$6,Hoja1!$F$2:$XFD$61,M50+4,FALSE),0)</f>
        <v/>
      </c>
      <c r="BV50">
        <f>IFERROR(VLOOKUP(BV$6,Hoja1!$F$2:$XFD$61,N50+4,FALSE),0)</f>
        <v/>
      </c>
      <c r="BW50">
        <f>IFERROR(VLOOKUP(BW$6,Hoja1!$F$2:$XFD$61,O50+4,FALSE),0)</f>
        <v/>
      </c>
      <c r="BX50">
        <f>IFERROR(VLOOKUP(BX$6,Hoja1!$F$2:$XFD$61,P50+4,FALSE),0)</f>
        <v/>
      </c>
      <c r="BY50">
        <f>IFERROR(VLOOKUP(BY$6,Hoja1!$F$2:$XFD$61,Q50+4,FALSE),0)</f>
        <v/>
      </c>
      <c r="BZ50">
        <f>IFERROR(VLOOKUP(BZ$6,Hoja1!$F$2:$XFD$61,R50+4,FALSE),0)</f>
        <v/>
      </c>
      <c r="CA50">
        <f>IFERROR(VLOOKUP(CA$6,Hoja1!$F$2:$XFD$61,S50+4,FALSE),0)</f>
        <v/>
      </c>
      <c r="CB50">
        <f>IFERROR(VLOOKUP(CB$6,Hoja1!$F$2:$XFD$61,T50+4,FALSE),0)</f>
        <v/>
      </c>
      <c r="CC50">
        <f>IFERROR(VLOOKUP(CC$6,Hoja1!$F$2:$XFD$61,U50+4,FALSE),0)</f>
        <v/>
      </c>
      <c r="CD50">
        <f>IFERROR(VLOOKUP(CD$6,Hoja1!$F$2:$XFD$61,V50+4,FALSE),0)</f>
        <v/>
      </c>
      <c r="CE50">
        <f>IFERROR(VLOOKUP(CE$6,Hoja1!$F$2:$XFD$61,W50+4,FALSE),0)</f>
        <v/>
      </c>
      <c r="CF50">
        <f>IFERROR(VLOOKUP(CF$6,Hoja1!$F$2:$XFD$61,X50+4,FALSE),0)</f>
        <v/>
      </c>
      <c r="CG50">
        <f>IFERROR(VLOOKUP(CG$6,Hoja1!$F$2:$XFD$61,Y50+4,FALSE),0)</f>
        <v/>
      </c>
      <c r="CH50">
        <f>IFERROR(VLOOKUP(CH$6,Hoja1!$F$2:$XFD$61,Z50+4,FALSE),0)</f>
        <v/>
      </c>
      <c r="CI50">
        <f>IFERROR(VLOOKUP(CI$6,Hoja1!$F$2:$XFD$61,AA50+4,FALSE),0)</f>
        <v/>
      </c>
      <c r="CJ50">
        <f>IFERROR(VLOOKUP(CJ$6,Hoja1!$F$2:$XFD$61,AB50+4,FALSE),0)</f>
        <v/>
      </c>
      <c r="CK50">
        <f>IFERROR(VLOOKUP(CK$6,Hoja1!$F$2:$XFD$61,AC50+4,FALSE),0)</f>
        <v/>
      </c>
      <c r="CL50">
        <f>IFERROR(VLOOKUP(CL$6,Hoja1!$F$2:$XFD$61,AD50+4,FALSE),0)</f>
        <v/>
      </c>
      <c r="CM50">
        <f>IFERROR(VLOOKUP(CM$6,Hoja1!$F$2:$XFD$61,AE50+4,FALSE),0)</f>
        <v/>
      </c>
      <c r="CN50">
        <f>IFERROR(VLOOKUP(CN$6,Hoja1!$F$2:$XFD$61,AF50+4,FALSE),0)</f>
        <v/>
      </c>
      <c r="CO50">
        <f>IFERROR(VLOOKUP(CO$6,Hoja1!$F$2:$XFD$61,AG50+4,FALSE),0)</f>
        <v/>
      </c>
      <c r="CP50">
        <f>IFERROR(VLOOKUP(CP$6,Hoja1!$F$2:$XFD$61,AH50+4,FALSE),0)</f>
        <v/>
      </c>
      <c r="CQ50">
        <f>IFERROR(VLOOKUP(CQ$6,Hoja1!$F$2:$XFD$61,AI50+4,FALSE),0)</f>
        <v/>
      </c>
      <c r="CR50">
        <f>IFERROR(VLOOKUP(CR$6,Hoja1!$F$2:$XFD$61,AJ50+4,FALSE),0)</f>
        <v/>
      </c>
      <c r="CS50">
        <f>IFERROR(VLOOKUP(CS$6,Hoja1!$F$2:$XFD$61,AK50+4,FALSE),0)</f>
        <v/>
      </c>
      <c r="CT50">
        <f>IFERROR(VLOOKUP(CT$6,Hoja1!$F$2:$XFD$61,AL50+4,FALSE),0)</f>
        <v/>
      </c>
      <c r="CU50">
        <f>IFERROR(VLOOKUP(CU$6,Hoja1!$F$2:$XFD$61,AM50+4,FALSE),0)</f>
        <v/>
      </c>
      <c r="CV50">
        <f>IFERROR(VLOOKUP(CV$6,Hoja1!$F$2:$XFD$61,AN50+4,FALSE),0)</f>
        <v/>
      </c>
      <c r="CW50">
        <f>IFERROR(VLOOKUP(CW$6,Hoja1!$F$2:$XFD$61,AO50+4,FALSE),0)</f>
        <v/>
      </c>
      <c r="CX50">
        <f>IFERROR(VLOOKUP(CX$6,Hoja1!$F$2:$XFD$61,AP50+4,FALSE),0)</f>
        <v/>
      </c>
      <c r="CY50">
        <f>IFERROR(VLOOKUP(CY$6,Hoja1!$F$2:$XFD$61,AQ50+4,FALSE),0)</f>
        <v/>
      </c>
      <c r="CZ50">
        <f>IFERROR(VLOOKUP(CZ$6,Hoja1!$F$2:$XFD$61,AR50+4,FALSE),0)</f>
        <v/>
      </c>
      <c r="DA50">
        <f>IFERROR(VLOOKUP(DA$6,Hoja1!$F$2:$XFD$61,AS50+4,FALSE),0)</f>
        <v/>
      </c>
      <c r="DB50">
        <f>IFERROR(VLOOKUP(DB$6,Hoja1!$F$2:$XFD$61,AT50+4,FALSE),0)</f>
        <v/>
      </c>
      <c r="DC50">
        <f>IFERROR(VLOOKUP(DC$6,Hoja1!$F$2:$XFD$61,AU50+4,FALSE),0)</f>
        <v/>
      </c>
      <c r="DD50">
        <f>IFERROR(VLOOKUP(DD$6,Hoja1!$F$2:$XFD$61,AV50+4,FALSE),0)</f>
        <v/>
      </c>
      <c r="DE50">
        <f>IFERROR(VLOOKUP(DE$6,Hoja1!$F$2:$XFD$61,AW50+4,FALSE),0)</f>
        <v/>
      </c>
      <c r="DF50">
        <f>IFERROR(VLOOKUP(DF$6,Hoja1!$F$2:$XFD$61,AX50+4,FALSE),0)</f>
        <v/>
      </c>
      <c r="DG50">
        <f>IFERROR(VLOOKUP(DG$6,Hoja1!$F$2:$XFD$61,AY50+4,FALSE),0)</f>
        <v/>
      </c>
      <c r="DH50">
        <f>IFERROR(VLOOKUP(DH$6,Hoja1!$F$2:$XFD$61,AZ50+4,FALSE),0)</f>
        <v/>
      </c>
      <c r="DI50">
        <f>IFERROR(VLOOKUP(DI$6,Hoja1!$F$2:$XFD$61,BA50+4,FALSE),0)</f>
        <v/>
      </c>
      <c r="DJ50">
        <f>IFERROR(VLOOKUP(DJ$6,Hoja1!$F$2:$XFD$61,BB50+4,FALSE),0)</f>
        <v/>
      </c>
      <c r="DK50">
        <f>IFERROR(VLOOKUP(DK$6,Hoja1!$F$2:$XFD$61,BC50+4,FALSE),0)</f>
        <v/>
      </c>
      <c r="DL50">
        <f>IFERROR(VLOOKUP(DL$6,Hoja1!$F$2:$XFD$61,BD50+4,FALSE),0)</f>
        <v/>
      </c>
      <c r="DM50">
        <f>IFERROR(VLOOKUP(DM$6,Hoja1!$F$2:$XFD$61,BE50+4,FALSE),0)</f>
        <v/>
      </c>
      <c r="DN50">
        <f>IFERROR(VLOOKUP(DN$6,Hoja1!$F$2:$XFD$61,BF50+4,FALSE),0)</f>
        <v/>
      </c>
      <c r="DO50">
        <f>IFERROR(VLOOKUP(DO$6,Hoja1!$F$2:$XFD$61,BG50+4,FALSE),0)</f>
        <v/>
      </c>
      <c r="DP50">
        <f>IFERROR(VLOOKUP(DP$6,Hoja1!$F$2:$XFD$61,BH50+4,FALSE),0)</f>
        <v/>
      </c>
      <c r="DQ50">
        <f>IFERROR(VLOOKUP(DQ$6,Hoja1!$F$2:$XFD$61,BI50+4,FALSE),0)</f>
        <v/>
      </c>
      <c r="DR50">
        <f>IFERROR(VLOOKUP(DR$6,Hoja1!$F$2:$XFD$61,BJ50+4,FALSE),0)</f>
        <v/>
      </c>
      <c r="DS50">
        <f>IFERROR(VLOOKUP(DS$6,Hoja1!$F$2:$XFD$61,BK50+4,FALSE),0)</f>
        <v/>
      </c>
      <c r="DT50">
        <f>IFERROR(VLOOKUP(DT$6,Hoja1!$F$2:$XFD$61,BL50+4,FALSE),0)</f>
        <v/>
      </c>
      <c r="DU50" s="15">
        <f>IF(COUNT(E50:BL50)=$DV$7,IF(D50="","indique grupo",SUM(BM50:DT50)),"")</f>
        <v/>
      </c>
      <c r="DV50" s="16">
        <f>IF(D50&lt;&gt;"",IF(DU50="","",IF(DU50&gt;=$DU$7*Hoja1!$E$2,4+3/($DU$7*(1-Hoja1!$E$2))*(DU50-$DU$7*Hoja1!$E$2),1+3/($DU$7*Hoja1!$E$2)*DU50)),DU50)</f>
        <v/>
      </c>
      <c r="DW50" s="47" t="b">
        <v>0</v>
      </c>
    </row>
    <row r="51" ht="23.25" customHeight="1">
      <c r="A51" s="17" t="n">
        <v>42</v>
      </c>
      <c r="B51" s="18" t="inlineStr">
        <is>
          <t>ZAMORA FERNANDEZ LEONARDO FELIPE</t>
        </is>
      </c>
      <c r="C51" s="18" t="inlineStr">
        <is>
          <t>201734177</t>
        </is>
      </c>
      <c r="D51" s="1" t="n"/>
      <c r="E51" s="28" t="n"/>
      <c r="F51" s="19" t="n"/>
      <c r="G51" s="19" t="n"/>
      <c r="H51" s="19" t="n"/>
      <c r="I51" s="19" t="n"/>
      <c r="J51" s="19" t="n"/>
      <c r="K51" s="19" t="n"/>
      <c r="L51" s="19" t="n"/>
      <c r="M51" s="19" t="n"/>
      <c r="N51" s="19" t="n"/>
      <c r="O51" s="19" t="n"/>
      <c r="P51" s="19" t="n"/>
      <c r="Q51" s="19" t="n"/>
      <c r="R51" s="19" t="n"/>
      <c r="S51" s="19" t="n"/>
      <c r="T51" s="19" t="n"/>
      <c r="U51" s="19" t="n"/>
      <c r="V51" s="19" t="n"/>
      <c r="W51" s="19" t="n"/>
      <c r="X51" s="19" t="n"/>
      <c r="Y51" s="19" t="n"/>
      <c r="Z51" s="19" t="n"/>
      <c r="AA51" s="19" t="n"/>
      <c r="AB51" s="19" t="n"/>
      <c r="AC51" s="19" t="n"/>
      <c r="AD51" s="19" t="n"/>
      <c r="AE51" s="19" t="n"/>
      <c r="AF51" s="19" t="n"/>
      <c r="AG51" s="19" t="n"/>
      <c r="AH51" s="19" t="n"/>
      <c r="AI51" s="19" t="n"/>
      <c r="AJ51" s="19" t="n"/>
      <c r="AK51" s="19" t="n"/>
      <c r="AL51" s="19" t="n"/>
      <c r="AM51" s="19" t="n"/>
      <c r="AN51" s="19" t="n"/>
      <c r="AO51" s="19" t="n"/>
      <c r="AP51" s="19" t="n"/>
      <c r="AQ51" s="19" t="n"/>
      <c r="AR51" s="19" t="n"/>
      <c r="AS51" s="19" t="n"/>
      <c r="AT51" s="19" t="n"/>
      <c r="AU51" s="19" t="n"/>
      <c r="AV51" s="19" t="n"/>
      <c r="AW51" s="19" t="n"/>
      <c r="AX51" s="19" t="n"/>
      <c r="AY51" s="19" t="n"/>
      <c r="AZ51" s="19" t="n"/>
      <c r="BA51" s="19" t="n"/>
      <c r="BB51" s="19" t="n"/>
      <c r="BC51" s="19" t="n"/>
      <c r="BD51" s="19" t="n"/>
      <c r="BE51" s="19" t="n"/>
      <c r="BF51" s="19" t="n"/>
      <c r="BG51" s="19" t="n"/>
      <c r="BH51" s="19" t="n"/>
      <c r="BI51" s="19" t="n"/>
      <c r="BJ51" s="19" t="n"/>
      <c r="BK51" s="19" t="n"/>
      <c r="BL51" s="29" t="n"/>
      <c r="BM51">
        <f>IFERROR(VLOOKUP(BM$6,Hoja1!$F$2:$XFD$61,E51+4,FALSE),0)</f>
        <v/>
      </c>
      <c r="BN51">
        <f>IFERROR(VLOOKUP(BN$6,Hoja1!$F$2:$XFD$61,F51+4,FALSE),0)</f>
        <v/>
      </c>
      <c r="BO51">
        <f>IFERROR(VLOOKUP(BO$6,Hoja1!$F$2:$XFD$61,G51+4,FALSE),0)</f>
        <v/>
      </c>
      <c r="BP51">
        <f>IFERROR(VLOOKUP(BP$6,Hoja1!$F$2:$XFD$61,H51+4,FALSE),0)</f>
        <v/>
      </c>
      <c r="BQ51">
        <f>IFERROR(VLOOKUP(BQ$6,Hoja1!$F$2:$XFD$61,I51+4,FALSE),0)</f>
        <v/>
      </c>
      <c r="BR51">
        <f>IFERROR(VLOOKUP(BR$6,Hoja1!$F$2:$XFD$61,J51+4,FALSE),0)</f>
        <v/>
      </c>
      <c r="BS51">
        <f>IFERROR(VLOOKUP(BS$6,Hoja1!$F$2:$XFD$61,K51+4,FALSE),0)</f>
        <v/>
      </c>
      <c r="BT51">
        <f>IFERROR(VLOOKUP(BT$6,Hoja1!$F$2:$XFD$61,L51+4,FALSE),0)</f>
        <v/>
      </c>
      <c r="BU51">
        <f>IFERROR(VLOOKUP(BU$6,Hoja1!$F$2:$XFD$61,M51+4,FALSE),0)</f>
        <v/>
      </c>
      <c r="BV51">
        <f>IFERROR(VLOOKUP(BV$6,Hoja1!$F$2:$XFD$61,N51+4,FALSE),0)</f>
        <v/>
      </c>
      <c r="BW51">
        <f>IFERROR(VLOOKUP(BW$6,Hoja1!$F$2:$XFD$61,O51+4,FALSE),0)</f>
        <v/>
      </c>
      <c r="BX51">
        <f>IFERROR(VLOOKUP(BX$6,Hoja1!$F$2:$XFD$61,P51+4,FALSE),0)</f>
        <v/>
      </c>
      <c r="BY51">
        <f>IFERROR(VLOOKUP(BY$6,Hoja1!$F$2:$XFD$61,Q51+4,FALSE),0)</f>
        <v/>
      </c>
      <c r="BZ51">
        <f>IFERROR(VLOOKUP(BZ$6,Hoja1!$F$2:$XFD$61,R51+4,FALSE),0)</f>
        <v/>
      </c>
      <c r="CA51">
        <f>IFERROR(VLOOKUP(CA$6,Hoja1!$F$2:$XFD$61,S51+4,FALSE),0)</f>
        <v/>
      </c>
      <c r="CB51">
        <f>IFERROR(VLOOKUP(CB$6,Hoja1!$F$2:$XFD$61,T51+4,FALSE),0)</f>
        <v/>
      </c>
      <c r="CC51">
        <f>IFERROR(VLOOKUP(CC$6,Hoja1!$F$2:$XFD$61,U51+4,FALSE),0)</f>
        <v/>
      </c>
      <c r="CD51">
        <f>IFERROR(VLOOKUP(CD$6,Hoja1!$F$2:$XFD$61,V51+4,FALSE),0)</f>
        <v/>
      </c>
      <c r="CE51">
        <f>IFERROR(VLOOKUP(CE$6,Hoja1!$F$2:$XFD$61,W51+4,FALSE),0)</f>
        <v/>
      </c>
      <c r="CF51">
        <f>IFERROR(VLOOKUP(CF$6,Hoja1!$F$2:$XFD$61,X51+4,FALSE),0)</f>
        <v/>
      </c>
      <c r="CG51">
        <f>IFERROR(VLOOKUP(CG$6,Hoja1!$F$2:$XFD$61,Y51+4,FALSE),0)</f>
        <v/>
      </c>
      <c r="CH51">
        <f>IFERROR(VLOOKUP(CH$6,Hoja1!$F$2:$XFD$61,Z51+4,FALSE),0)</f>
        <v/>
      </c>
      <c r="CI51">
        <f>IFERROR(VLOOKUP(CI$6,Hoja1!$F$2:$XFD$61,AA51+4,FALSE),0)</f>
        <v/>
      </c>
      <c r="CJ51">
        <f>IFERROR(VLOOKUP(CJ$6,Hoja1!$F$2:$XFD$61,AB51+4,FALSE),0)</f>
        <v/>
      </c>
      <c r="CK51">
        <f>IFERROR(VLOOKUP(CK$6,Hoja1!$F$2:$XFD$61,AC51+4,FALSE),0)</f>
        <v/>
      </c>
      <c r="CL51">
        <f>IFERROR(VLOOKUP(CL$6,Hoja1!$F$2:$XFD$61,AD51+4,FALSE),0)</f>
        <v/>
      </c>
      <c r="CM51">
        <f>IFERROR(VLOOKUP(CM$6,Hoja1!$F$2:$XFD$61,AE51+4,FALSE),0)</f>
        <v/>
      </c>
      <c r="CN51">
        <f>IFERROR(VLOOKUP(CN$6,Hoja1!$F$2:$XFD$61,AF51+4,FALSE),0)</f>
        <v/>
      </c>
      <c r="CO51">
        <f>IFERROR(VLOOKUP(CO$6,Hoja1!$F$2:$XFD$61,AG51+4,FALSE),0)</f>
        <v/>
      </c>
      <c r="CP51">
        <f>IFERROR(VLOOKUP(CP$6,Hoja1!$F$2:$XFD$61,AH51+4,FALSE),0)</f>
        <v/>
      </c>
      <c r="CQ51">
        <f>IFERROR(VLOOKUP(CQ$6,Hoja1!$F$2:$XFD$61,AI51+4,FALSE),0)</f>
        <v/>
      </c>
      <c r="CR51">
        <f>IFERROR(VLOOKUP(CR$6,Hoja1!$F$2:$XFD$61,AJ51+4,FALSE),0)</f>
        <v/>
      </c>
      <c r="CS51">
        <f>IFERROR(VLOOKUP(CS$6,Hoja1!$F$2:$XFD$61,AK51+4,FALSE),0)</f>
        <v/>
      </c>
      <c r="CT51">
        <f>IFERROR(VLOOKUP(CT$6,Hoja1!$F$2:$XFD$61,AL51+4,FALSE),0)</f>
        <v/>
      </c>
      <c r="CU51">
        <f>IFERROR(VLOOKUP(CU$6,Hoja1!$F$2:$XFD$61,AM51+4,FALSE),0)</f>
        <v/>
      </c>
      <c r="CV51">
        <f>IFERROR(VLOOKUP(CV$6,Hoja1!$F$2:$XFD$61,AN51+4,FALSE),0)</f>
        <v/>
      </c>
      <c r="CW51">
        <f>IFERROR(VLOOKUP(CW$6,Hoja1!$F$2:$XFD$61,AO51+4,FALSE),0)</f>
        <v/>
      </c>
      <c r="CX51">
        <f>IFERROR(VLOOKUP(CX$6,Hoja1!$F$2:$XFD$61,AP51+4,FALSE),0)</f>
        <v/>
      </c>
      <c r="CY51">
        <f>IFERROR(VLOOKUP(CY$6,Hoja1!$F$2:$XFD$61,AQ51+4,FALSE),0)</f>
        <v/>
      </c>
      <c r="CZ51">
        <f>IFERROR(VLOOKUP(CZ$6,Hoja1!$F$2:$XFD$61,AR51+4,FALSE),0)</f>
        <v/>
      </c>
      <c r="DA51">
        <f>IFERROR(VLOOKUP(DA$6,Hoja1!$F$2:$XFD$61,AS51+4,FALSE),0)</f>
        <v/>
      </c>
      <c r="DB51">
        <f>IFERROR(VLOOKUP(DB$6,Hoja1!$F$2:$XFD$61,AT51+4,FALSE),0)</f>
        <v/>
      </c>
      <c r="DC51">
        <f>IFERROR(VLOOKUP(DC$6,Hoja1!$F$2:$XFD$61,AU51+4,FALSE),0)</f>
        <v/>
      </c>
      <c r="DD51">
        <f>IFERROR(VLOOKUP(DD$6,Hoja1!$F$2:$XFD$61,AV51+4,FALSE),0)</f>
        <v/>
      </c>
      <c r="DE51">
        <f>IFERROR(VLOOKUP(DE$6,Hoja1!$F$2:$XFD$61,AW51+4,FALSE),0)</f>
        <v/>
      </c>
      <c r="DF51">
        <f>IFERROR(VLOOKUP(DF$6,Hoja1!$F$2:$XFD$61,AX51+4,FALSE),0)</f>
        <v/>
      </c>
      <c r="DG51">
        <f>IFERROR(VLOOKUP(DG$6,Hoja1!$F$2:$XFD$61,AY51+4,FALSE),0)</f>
        <v/>
      </c>
      <c r="DH51">
        <f>IFERROR(VLOOKUP(DH$6,Hoja1!$F$2:$XFD$61,AZ51+4,FALSE),0)</f>
        <v/>
      </c>
      <c r="DI51">
        <f>IFERROR(VLOOKUP(DI$6,Hoja1!$F$2:$XFD$61,BA51+4,FALSE),0)</f>
        <v/>
      </c>
      <c r="DJ51">
        <f>IFERROR(VLOOKUP(DJ$6,Hoja1!$F$2:$XFD$61,BB51+4,FALSE),0)</f>
        <v/>
      </c>
      <c r="DK51">
        <f>IFERROR(VLOOKUP(DK$6,Hoja1!$F$2:$XFD$61,BC51+4,FALSE),0)</f>
        <v/>
      </c>
      <c r="DL51">
        <f>IFERROR(VLOOKUP(DL$6,Hoja1!$F$2:$XFD$61,BD51+4,FALSE),0)</f>
        <v/>
      </c>
      <c r="DM51">
        <f>IFERROR(VLOOKUP(DM$6,Hoja1!$F$2:$XFD$61,BE51+4,FALSE),0)</f>
        <v/>
      </c>
      <c r="DN51">
        <f>IFERROR(VLOOKUP(DN$6,Hoja1!$F$2:$XFD$61,BF51+4,FALSE),0)</f>
        <v/>
      </c>
      <c r="DO51">
        <f>IFERROR(VLOOKUP(DO$6,Hoja1!$F$2:$XFD$61,BG51+4,FALSE),0)</f>
        <v/>
      </c>
      <c r="DP51">
        <f>IFERROR(VLOOKUP(DP$6,Hoja1!$F$2:$XFD$61,BH51+4,FALSE),0)</f>
        <v/>
      </c>
      <c r="DQ51">
        <f>IFERROR(VLOOKUP(DQ$6,Hoja1!$F$2:$XFD$61,BI51+4,FALSE),0)</f>
        <v/>
      </c>
      <c r="DR51">
        <f>IFERROR(VLOOKUP(DR$6,Hoja1!$F$2:$XFD$61,BJ51+4,FALSE),0)</f>
        <v/>
      </c>
      <c r="DS51">
        <f>IFERROR(VLOOKUP(DS$6,Hoja1!$F$2:$XFD$61,BK51+4,FALSE),0)</f>
        <v/>
      </c>
      <c r="DT51">
        <f>IFERROR(VLOOKUP(DT$6,Hoja1!$F$2:$XFD$61,BL51+4,FALSE),0)</f>
        <v/>
      </c>
      <c r="DU51" s="15">
        <f>IF(COUNT(E51:BL51)=$DV$7,IF(D51="","indique grupo",SUM(BM51:DT51)),"")</f>
        <v/>
      </c>
      <c r="DV51" s="16">
        <f>IF(D51&lt;&gt;"",IF(DU51="","",IF(DU51&gt;=$DU$7*Hoja1!$E$2,4+3/($DU$7*(1-Hoja1!$E$2))*(DU51-$DU$7*Hoja1!$E$2),1+3/($DU$7*Hoja1!$E$2)*DU51)),DU51)</f>
        <v/>
      </c>
      <c r="DW51" s="47" t="b">
        <v>0</v>
      </c>
    </row>
    <row r="52" ht="23.25" customHeight="1">
      <c r="A52" s="17" t="n">
        <v>43</v>
      </c>
      <c r="B52" s="18" t="inlineStr">
        <is>
          <t>ZAVALA CONTRERAS BASTHIAN  AARON</t>
        </is>
      </c>
      <c r="C52" s="18" t="inlineStr">
        <is>
          <t>208506129</t>
        </is>
      </c>
      <c r="D52" s="1" t="n"/>
      <c r="E52" s="28" t="n"/>
      <c r="F52" s="19" t="n"/>
      <c r="G52" s="19" t="n"/>
      <c r="H52" s="19" t="n"/>
      <c r="I52" s="19" t="n"/>
      <c r="J52" s="19" t="n"/>
      <c r="K52" s="19" t="n"/>
      <c r="L52" s="19" t="n"/>
      <c r="M52" s="19" t="n"/>
      <c r="N52" s="19" t="n"/>
      <c r="O52" s="19" t="n"/>
      <c r="P52" s="19" t="n"/>
      <c r="Q52" s="19" t="n"/>
      <c r="R52" s="19" t="n"/>
      <c r="S52" s="19" t="n"/>
      <c r="T52" s="19" t="n"/>
      <c r="U52" s="19" t="n"/>
      <c r="V52" s="19" t="n"/>
      <c r="W52" s="19" t="n"/>
      <c r="X52" s="19" t="n"/>
      <c r="Y52" s="19" t="n"/>
      <c r="Z52" s="19" t="n"/>
      <c r="AA52" s="19" t="n"/>
      <c r="AB52" s="19" t="n"/>
      <c r="AC52" s="19" t="n"/>
      <c r="AD52" s="19" t="n"/>
      <c r="AE52" s="19" t="n"/>
      <c r="AF52" s="19" t="n"/>
      <c r="AG52" s="19" t="n"/>
      <c r="AH52" s="19" t="n"/>
      <c r="AI52" s="19" t="n"/>
      <c r="AJ52" s="19" t="n"/>
      <c r="AK52" s="19" t="n"/>
      <c r="AL52" s="19" t="n"/>
      <c r="AM52" s="19" t="n"/>
      <c r="AN52" s="19" t="n"/>
      <c r="AO52" s="19" t="n"/>
      <c r="AP52" s="19" t="n"/>
      <c r="AQ52" s="19" t="n"/>
      <c r="AR52" s="19" t="n"/>
      <c r="AS52" s="19" t="n"/>
      <c r="AT52" s="19" t="n"/>
      <c r="AU52" s="19" t="n"/>
      <c r="AV52" s="19" t="n"/>
      <c r="AW52" s="19" t="n"/>
      <c r="AX52" s="19" t="n"/>
      <c r="AY52" s="19" t="n"/>
      <c r="AZ52" s="19" t="n"/>
      <c r="BA52" s="19" t="n"/>
      <c r="BB52" s="19" t="n"/>
      <c r="BC52" s="19" t="n"/>
      <c r="BD52" s="19" t="n"/>
      <c r="BE52" s="19" t="n"/>
      <c r="BF52" s="19" t="n"/>
      <c r="BG52" s="19" t="n"/>
      <c r="BH52" s="19" t="n"/>
      <c r="BI52" s="19" t="n"/>
      <c r="BJ52" s="19" t="n"/>
      <c r="BK52" s="19" t="n"/>
      <c r="BL52" s="29" t="n"/>
      <c r="BM52">
        <f>IFERROR(VLOOKUP(BM$6,Hoja1!$F$2:$XFD$61,E52+4,FALSE),0)</f>
        <v/>
      </c>
      <c r="BN52">
        <f>IFERROR(VLOOKUP(BN$6,Hoja1!$F$2:$XFD$61,F52+4,FALSE),0)</f>
        <v/>
      </c>
      <c r="BO52">
        <f>IFERROR(VLOOKUP(BO$6,Hoja1!$F$2:$XFD$61,G52+4,FALSE),0)</f>
        <v/>
      </c>
      <c r="BP52">
        <f>IFERROR(VLOOKUP(BP$6,Hoja1!$F$2:$XFD$61,H52+4,FALSE),0)</f>
        <v/>
      </c>
      <c r="BQ52">
        <f>IFERROR(VLOOKUP(BQ$6,Hoja1!$F$2:$XFD$61,I52+4,FALSE),0)</f>
        <v/>
      </c>
      <c r="BR52">
        <f>IFERROR(VLOOKUP(BR$6,Hoja1!$F$2:$XFD$61,J52+4,FALSE),0)</f>
        <v/>
      </c>
      <c r="BS52">
        <f>IFERROR(VLOOKUP(BS$6,Hoja1!$F$2:$XFD$61,K52+4,FALSE),0)</f>
        <v/>
      </c>
      <c r="BT52">
        <f>IFERROR(VLOOKUP(BT$6,Hoja1!$F$2:$XFD$61,L52+4,FALSE),0)</f>
        <v/>
      </c>
      <c r="BU52">
        <f>IFERROR(VLOOKUP(BU$6,Hoja1!$F$2:$XFD$61,M52+4,FALSE),0)</f>
        <v/>
      </c>
      <c r="BV52">
        <f>IFERROR(VLOOKUP(BV$6,Hoja1!$F$2:$XFD$61,N52+4,FALSE),0)</f>
        <v/>
      </c>
      <c r="BW52">
        <f>IFERROR(VLOOKUP(BW$6,Hoja1!$F$2:$XFD$61,O52+4,FALSE),0)</f>
        <v/>
      </c>
      <c r="BX52">
        <f>IFERROR(VLOOKUP(BX$6,Hoja1!$F$2:$XFD$61,P52+4,FALSE),0)</f>
        <v/>
      </c>
      <c r="BY52">
        <f>IFERROR(VLOOKUP(BY$6,Hoja1!$F$2:$XFD$61,Q52+4,FALSE),0)</f>
        <v/>
      </c>
      <c r="BZ52">
        <f>IFERROR(VLOOKUP(BZ$6,Hoja1!$F$2:$XFD$61,R52+4,FALSE),0)</f>
        <v/>
      </c>
      <c r="CA52">
        <f>IFERROR(VLOOKUP(CA$6,Hoja1!$F$2:$XFD$61,S52+4,FALSE),0)</f>
        <v/>
      </c>
      <c r="CB52">
        <f>IFERROR(VLOOKUP(CB$6,Hoja1!$F$2:$XFD$61,T52+4,FALSE),0)</f>
        <v/>
      </c>
      <c r="CC52">
        <f>IFERROR(VLOOKUP(CC$6,Hoja1!$F$2:$XFD$61,U52+4,FALSE),0)</f>
        <v/>
      </c>
      <c r="CD52">
        <f>IFERROR(VLOOKUP(CD$6,Hoja1!$F$2:$XFD$61,V52+4,FALSE),0)</f>
        <v/>
      </c>
      <c r="CE52">
        <f>IFERROR(VLOOKUP(CE$6,Hoja1!$F$2:$XFD$61,W52+4,FALSE),0)</f>
        <v/>
      </c>
      <c r="CF52">
        <f>IFERROR(VLOOKUP(CF$6,Hoja1!$F$2:$XFD$61,X52+4,FALSE),0)</f>
        <v/>
      </c>
      <c r="CG52">
        <f>IFERROR(VLOOKUP(CG$6,Hoja1!$F$2:$XFD$61,Y52+4,FALSE),0)</f>
        <v/>
      </c>
      <c r="CH52">
        <f>IFERROR(VLOOKUP(CH$6,Hoja1!$F$2:$XFD$61,Z52+4,FALSE),0)</f>
        <v/>
      </c>
      <c r="CI52">
        <f>IFERROR(VLOOKUP(CI$6,Hoja1!$F$2:$XFD$61,AA52+4,FALSE),0)</f>
        <v/>
      </c>
      <c r="CJ52">
        <f>IFERROR(VLOOKUP(CJ$6,Hoja1!$F$2:$XFD$61,AB52+4,FALSE),0)</f>
        <v/>
      </c>
      <c r="CK52">
        <f>IFERROR(VLOOKUP(CK$6,Hoja1!$F$2:$XFD$61,AC52+4,FALSE),0)</f>
        <v/>
      </c>
      <c r="CL52">
        <f>IFERROR(VLOOKUP(CL$6,Hoja1!$F$2:$XFD$61,AD52+4,FALSE),0)</f>
        <v/>
      </c>
      <c r="CM52">
        <f>IFERROR(VLOOKUP(CM$6,Hoja1!$F$2:$XFD$61,AE52+4,FALSE),0)</f>
        <v/>
      </c>
      <c r="CN52">
        <f>IFERROR(VLOOKUP(CN$6,Hoja1!$F$2:$XFD$61,AF52+4,FALSE),0)</f>
        <v/>
      </c>
      <c r="CO52">
        <f>IFERROR(VLOOKUP(CO$6,Hoja1!$F$2:$XFD$61,AG52+4,FALSE),0)</f>
        <v/>
      </c>
      <c r="CP52">
        <f>IFERROR(VLOOKUP(CP$6,Hoja1!$F$2:$XFD$61,AH52+4,FALSE),0)</f>
        <v/>
      </c>
      <c r="CQ52">
        <f>IFERROR(VLOOKUP(CQ$6,Hoja1!$F$2:$XFD$61,AI52+4,FALSE),0)</f>
        <v/>
      </c>
      <c r="CR52">
        <f>IFERROR(VLOOKUP(CR$6,Hoja1!$F$2:$XFD$61,AJ52+4,FALSE),0)</f>
        <v/>
      </c>
      <c r="CS52">
        <f>IFERROR(VLOOKUP(CS$6,Hoja1!$F$2:$XFD$61,AK52+4,FALSE),0)</f>
        <v/>
      </c>
      <c r="CT52">
        <f>IFERROR(VLOOKUP(CT$6,Hoja1!$F$2:$XFD$61,AL52+4,FALSE),0)</f>
        <v/>
      </c>
      <c r="CU52">
        <f>IFERROR(VLOOKUP(CU$6,Hoja1!$F$2:$XFD$61,AM52+4,FALSE),0)</f>
        <v/>
      </c>
      <c r="CV52">
        <f>IFERROR(VLOOKUP(CV$6,Hoja1!$F$2:$XFD$61,AN52+4,FALSE),0)</f>
        <v/>
      </c>
      <c r="CW52">
        <f>IFERROR(VLOOKUP(CW$6,Hoja1!$F$2:$XFD$61,AO52+4,FALSE),0)</f>
        <v/>
      </c>
      <c r="CX52">
        <f>IFERROR(VLOOKUP(CX$6,Hoja1!$F$2:$XFD$61,AP52+4,FALSE),0)</f>
        <v/>
      </c>
      <c r="CY52">
        <f>IFERROR(VLOOKUP(CY$6,Hoja1!$F$2:$XFD$61,AQ52+4,FALSE),0)</f>
        <v/>
      </c>
      <c r="CZ52">
        <f>IFERROR(VLOOKUP(CZ$6,Hoja1!$F$2:$XFD$61,AR52+4,FALSE),0)</f>
        <v/>
      </c>
      <c r="DA52">
        <f>IFERROR(VLOOKUP(DA$6,Hoja1!$F$2:$XFD$61,AS52+4,FALSE),0)</f>
        <v/>
      </c>
      <c r="DB52">
        <f>IFERROR(VLOOKUP(DB$6,Hoja1!$F$2:$XFD$61,AT52+4,FALSE),0)</f>
        <v/>
      </c>
      <c r="DC52">
        <f>IFERROR(VLOOKUP(DC$6,Hoja1!$F$2:$XFD$61,AU52+4,FALSE),0)</f>
        <v/>
      </c>
      <c r="DD52">
        <f>IFERROR(VLOOKUP(DD$6,Hoja1!$F$2:$XFD$61,AV52+4,FALSE),0)</f>
        <v/>
      </c>
      <c r="DE52">
        <f>IFERROR(VLOOKUP(DE$6,Hoja1!$F$2:$XFD$61,AW52+4,FALSE),0)</f>
        <v/>
      </c>
      <c r="DF52">
        <f>IFERROR(VLOOKUP(DF$6,Hoja1!$F$2:$XFD$61,AX52+4,FALSE),0)</f>
        <v/>
      </c>
      <c r="DG52">
        <f>IFERROR(VLOOKUP(DG$6,Hoja1!$F$2:$XFD$61,AY52+4,FALSE),0)</f>
        <v/>
      </c>
      <c r="DH52">
        <f>IFERROR(VLOOKUP(DH$6,Hoja1!$F$2:$XFD$61,AZ52+4,FALSE),0)</f>
        <v/>
      </c>
      <c r="DI52">
        <f>IFERROR(VLOOKUP(DI$6,Hoja1!$F$2:$XFD$61,BA52+4,FALSE),0)</f>
        <v/>
      </c>
      <c r="DJ52">
        <f>IFERROR(VLOOKUP(DJ$6,Hoja1!$F$2:$XFD$61,BB52+4,FALSE),0)</f>
        <v/>
      </c>
      <c r="DK52">
        <f>IFERROR(VLOOKUP(DK$6,Hoja1!$F$2:$XFD$61,BC52+4,FALSE),0)</f>
        <v/>
      </c>
      <c r="DL52">
        <f>IFERROR(VLOOKUP(DL$6,Hoja1!$F$2:$XFD$61,BD52+4,FALSE),0)</f>
        <v/>
      </c>
      <c r="DM52">
        <f>IFERROR(VLOOKUP(DM$6,Hoja1!$F$2:$XFD$61,BE52+4,FALSE),0)</f>
        <v/>
      </c>
      <c r="DN52">
        <f>IFERROR(VLOOKUP(DN$6,Hoja1!$F$2:$XFD$61,BF52+4,FALSE),0)</f>
        <v/>
      </c>
      <c r="DO52">
        <f>IFERROR(VLOOKUP(DO$6,Hoja1!$F$2:$XFD$61,BG52+4,FALSE),0)</f>
        <v/>
      </c>
      <c r="DP52">
        <f>IFERROR(VLOOKUP(DP$6,Hoja1!$F$2:$XFD$61,BH52+4,FALSE),0)</f>
        <v/>
      </c>
      <c r="DQ52">
        <f>IFERROR(VLOOKUP(DQ$6,Hoja1!$F$2:$XFD$61,BI52+4,FALSE),0)</f>
        <v/>
      </c>
      <c r="DR52">
        <f>IFERROR(VLOOKUP(DR$6,Hoja1!$F$2:$XFD$61,BJ52+4,FALSE),0)</f>
        <v/>
      </c>
      <c r="DS52">
        <f>IFERROR(VLOOKUP(DS$6,Hoja1!$F$2:$XFD$61,BK52+4,FALSE),0)</f>
        <v/>
      </c>
      <c r="DT52">
        <f>IFERROR(VLOOKUP(DT$6,Hoja1!$F$2:$XFD$61,BL52+4,FALSE),0)</f>
        <v/>
      </c>
      <c r="DU52" s="15">
        <f>IF(COUNT(E52:BL52)=$DV$7,IF(D52="","indique grupo",SUM(BM52:DT52)),"")</f>
        <v/>
      </c>
      <c r="DV52" s="16">
        <f>IF(D52&lt;&gt;"",IF(DU52="","",IF(DU52&gt;=$DU$7*Hoja1!$E$2,4+3/($DU$7*(1-Hoja1!$E$2))*(DU52-$DU$7*Hoja1!$E$2),1+3/($DU$7*Hoja1!$E$2)*DU52)),DU52)</f>
        <v/>
      </c>
      <c r="DW52" s="47" t="b">
        <v>0</v>
      </c>
    </row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2024-05-03T14:12:50Z</dcterms:modified>
  <cp:lastModifiedBy>Leandro Gutierrez A.</cp:lastModifiedBy>
  <cp:lastPrinted>2012-11-30T22:55:58Z</cp:lastPrinted>
</cp:coreProperties>
</file>