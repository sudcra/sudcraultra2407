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SILVA GABRIEL ESTEBAN</t>
        </is>
      </c>
      <c r="C10" s="14" t="inlineStr">
        <is>
          <t>221471792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ARANCIBIA ESCOBAR PABLO CESAR</t>
        </is>
      </c>
      <c r="C11" s="18" t="inlineStr">
        <is>
          <t>122242129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PAEZ MATIAS DHAN</t>
        </is>
      </c>
      <c r="C12" s="14" t="inlineStr">
        <is>
          <t>22000581K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ARIAS HENRIQUEZ ALBERTO ANTONIO</t>
        </is>
      </c>
      <c r="C13" s="18" t="inlineStr">
        <is>
          <t>220167259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BRAGAZZI FUENTES FRANCISCO IGNACIO</t>
        </is>
      </c>
      <c r="C14" s="14" t="inlineStr">
        <is>
          <t>220341585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BUSTAMANTE NEGRETE THOMAS  RODRIGO</t>
        </is>
      </c>
      <c r="C15" s="14" t="inlineStr">
        <is>
          <t>216383346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CABRERA REMENTERIA BRUNO FREDY</t>
        </is>
      </c>
      <c r="C16" s="18" t="inlineStr">
        <is>
          <t>214157594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CAMPOS FIGUEROA GERARDO ARTURO</t>
        </is>
      </c>
      <c r="C17" s="14" t="inlineStr">
        <is>
          <t>213695290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CARRASCO ARCAYA BAYRON PAOLO</t>
        </is>
      </c>
      <c r="C18" s="14" t="inlineStr">
        <is>
          <t>219689349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CASTILLO CALISTO MARTIN ESTEBAN</t>
        </is>
      </c>
      <c r="C19" s="18" t="inlineStr">
        <is>
          <t>215051870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CASTRO GALAZ MARTIN ALEXANDER</t>
        </is>
      </c>
      <c r="C20" s="18" t="inlineStr">
        <is>
          <t>218313167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STOLZENBACH HARRY MATIAS</t>
        </is>
      </c>
      <c r="C21" s="18" t="inlineStr">
        <is>
          <t>209820439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ESCOBAR GUERRERO CRISTIAN EDUARDO</t>
        </is>
      </c>
      <c r="C22" s="18" t="inlineStr">
        <is>
          <t>22117707K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ESMAR GONZALEZ GABRIEL ESTEBAN</t>
        </is>
      </c>
      <c r="C23" s="18" t="inlineStr">
        <is>
          <t>216598245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FLORES CAMACHO ALBERTH JOHN</t>
        </is>
      </c>
      <c r="C24" s="18" t="inlineStr">
        <is>
          <t>217745004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AGUILERA JESUS ANTONIO</t>
        </is>
      </c>
      <c r="C25" s="18" t="inlineStr">
        <is>
          <t>215987604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OGALDE GABRIEL ESTEBAN</t>
        </is>
      </c>
      <c r="C26" s="18" t="inlineStr">
        <is>
          <t>215776794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GUZMAN GRANYAK RUBEN ESTEBAN</t>
        </is>
      </c>
      <c r="C27" s="18" t="inlineStr">
        <is>
          <t>21748829K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JIMENEZ PEREZ NICOLAS ANTU</t>
        </is>
      </c>
      <c r="C28" s="18" t="inlineStr">
        <is>
          <t>220134865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MIRANDA NOVOA NICOLAS JAVIER</t>
        </is>
      </c>
      <c r="C29" s="18" t="inlineStr">
        <is>
          <t>215223353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MOLINA VENEGAS FELIPE IGNACIO</t>
        </is>
      </c>
      <c r="C30" s="18" t="inlineStr">
        <is>
          <t>204849897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MOYANO ALBORTA JONATHAN FERNANDO</t>
        </is>
      </c>
      <c r="C31" s="18" t="inlineStr">
        <is>
          <t>218842763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MOYANO FLORES FABIAN ARTURO</t>
        </is>
      </c>
      <c r="C32" s="18" t="inlineStr">
        <is>
          <t>219285019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FIGUEROA JUSTYN MILOVAN</t>
        </is>
      </c>
      <c r="C33" s="18" t="inlineStr">
        <is>
          <t>218145655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PEREZ ISAAC ALEJANDRO</t>
        </is>
      </c>
      <c r="C34" s="18" t="inlineStr">
        <is>
          <t>219971907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NAIL MORENO RICARDO ALBERTO JESUS</t>
        </is>
      </c>
      <c r="C35" s="18" t="inlineStr">
        <is>
          <t>21269486K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NUNEZ FERNANDEZ FELIPE JAVIER</t>
        </is>
      </c>
      <c r="C36" s="18" t="inlineStr">
        <is>
          <t>216992547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OBREGON DIAZ JOAQUIN</t>
        </is>
      </c>
      <c r="C37" s="18" t="inlineStr">
        <is>
          <t>218231985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PEDREROS ORENA MARTIN SEBASTIAN</t>
        </is>
      </c>
      <c r="C38" s="18" t="inlineStr">
        <is>
          <t>220054098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AGUIAR AARON  ALEXANDER</t>
        </is>
      </c>
      <c r="C39" s="18" t="inlineStr">
        <is>
          <t>219672063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PIZARRO SILVA BASTIAN KEVIN EDUARDO</t>
        </is>
      </c>
      <c r="C40" s="18" t="inlineStr">
        <is>
          <t>218843468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POLANCO HENRIQUEZ OSCAR RAUL</t>
        </is>
      </c>
      <c r="C41" s="18" t="inlineStr">
        <is>
          <t>219795297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RIVERA CASTILLO GABRIEL IGNACIO</t>
        </is>
      </c>
      <c r="C42" s="18" t="inlineStr">
        <is>
          <t>220981320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RIVERA VIVANCO CRISTOBAL ANTONIO</t>
        </is>
      </c>
      <c r="C43" s="18" t="inlineStr">
        <is>
          <t>219778279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RODRIGUEZ ARAYA ALVARO BENJAMIN</t>
        </is>
      </c>
      <c r="C44" s="18" t="inlineStr">
        <is>
          <t>203604882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RODRIGUEZ CARCAMO ABEL IGNACIO</t>
        </is>
      </c>
      <c r="C45" s="18" t="inlineStr">
        <is>
          <t>216475836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ROLDAN CONTRERAS DAVID IGNACIO</t>
        </is>
      </c>
      <c r="C46" s="18" t="inlineStr">
        <is>
          <t>21610644K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SAAVEDRA CASTILLO MATIAS IGNACIO</t>
        </is>
      </c>
      <c r="C47" s="18" t="inlineStr">
        <is>
          <t>221087941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TELLO DIAZ MAREK BERTIL</t>
        </is>
      </c>
      <c r="C48" s="18" t="inlineStr">
        <is>
          <t>221505247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VALENZUELA BURGOS BENJAMIN IGNACIO</t>
        </is>
      </c>
      <c r="C49" s="18" t="inlineStr">
        <is>
          <t>21843424K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VASQUEZ NUNEZ BENJAMIN ALEXANDER</t>
        </is>
      </c>
      <c r="C50" s="18" t="inlineStr">
        <is>
          <t>220749177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VERGARA CONTRERAS NICOLAS</t>
        </is>
      </c>
      <c r="C51" s="18" t="inlineStr">
        <is>
          <t>219730144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VILCHES GUTIERREZ JAIME ESTEBAN</t>
        </is>
      </c>
      <c r="C52" s="18" t="inlineStr">
        <is>
          <t>219482736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VILLA SALINAS NICOLAS ANDRES</t>
        </is>
      </c>
      <c r="C53" s="18" t="inlineStr">
        <is>
          <t>203204833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>
      <c r="A54" s="17" t="n">
        <v>45</v>
      </c>
      <c r="B54" s="18" t="inlineStr">
        <is>
          <t>VILLARROEL CHAPA JESUS</t>
        </is>
      </c>
      <c r="C54" s="18" t="inlineStr">
        <is>
          <t>219223331</t>
        </is>
      </c>
      <c r="D54" s="1" t="n"/>
      <c r="E54" s="28" t="n"/>
      <c r="F54" s="19" t="n"/>
      <c r="G54" s="19" t="n"/>
      <c r="H54" s="19" t="n"/>
      <c r="I54" s="19" t="n"/>
      <c r="J54" s="19" t="n"/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  <c r="X54" s="19" t="n"/>
      <c r="Y54" s="19" t="n"/>
      <c r="Z54" s="19" t="n"/>
      <c r="AA54" s="19" t="n"/>
      <c r="AB54" s="19" t="n"/>
      <c r="AC54" s="19" t="n"/>
      <c r="AD54" s="19" t="n"/>
      <c r="AE54" s="19" t="n"/>
      <c r="AF54" s="19" t="n"/>
      <c r="AG54" s="19" t="n"/>
      <c r="AH54" s="19" t="n"/>
      <c r="AI54" s="19" t="n"/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  <c r="BL54" s="29" t="n"/>
      <c r="BM54">
        <f>IFERROR(VLOOKUP(BM$6,Hoja1!$F$2:$XFD$61,E54+4,FALSE),0)</f>
        <v/>
      </c>
      <c r="BN54">
        <f>IFERROR(VLOOKUP(BN$6,Hoja1!$F$2:$XFD$61,F54+4,FALSE),0)</f>
        <v/>
      </c>
      <c r="BO54">
        <f>IFERROR(VLOOKUP(BO$6,Hoja1!$F$2:$XFD$61,G54+4,FALSE),0)</f>
        <v/>
      </c>
      <c r="BP54">
        <f>IFERROR(VLOOKUP(BP$6,Hoja1!$F$2:$XFD$61,H54+4,FALSE),0)</f>
        <v/>
      </c>
      <c r="BQ54">
        <f>IFERROR(VLOOKUP(BQ$6,Hoja1!$F$2:$XFD$61,I54+4,FALSE),0)</f>
        <v/>
      </c>
      <c r="BR54">
        <f>IFERROR(VLOOKUP(BR$6,Hoja1!$F$2:$XFD$61,J54+4,FALSE),0)</f>
        <v/>
      </c>
      <c r="BS54">
        <f>IFERROR(VLOOKUP(BS$6,Hoja1!$F$2:$XFD$61,K54+4,FALSE),0)</f>
        <v/>
      </c>
      <c r="BT54">
        <f>IFERROR(VLOOKUP(BT$6,Hoja1!$F$2:$XFD$61,L54+4,FALSE),0)</f>
        <v/>
      </c>
      <c r="BU54">
        <f>IFERROR(VLOOKUP(BU$6,Hoja1!$F$2:$XFD$61,M54+4,FALSE),0)</f>
        <v/>
      </c>
      <c r="BV54">
        <f>IFERROR(VLOOKUP(BV$6,Hoja1!$F$2:$XFD$61,N54+4,FALSE),0)</f>
        <v/>
      </c>
      <c r="BW54">
        <f>IFERROR(VLOOKUP(BW$6,Hoja1!$F$2:$XFD$61,O54+4,FALSE),0)</f>
        <v/>
      </c>
      <c r="BX54">
        <f>IFERROR(VLOOKUP(BX$6,Hoja1!$F$2:$XFD$61,P54+4,FALSE),0)</f>
        <v/>
      </c>
      <c r="BY54">
        <f>IFERROR(VLOOKUP(BY$6,Hoja1!$F$2:$XFD$61,Q54+4,FALSE),0)</f>
        <v/>
      </c>
      <c r="BZ54">
        <f>IFERROR(VLOOKUP(BZ$6,Hoja1!$F$2:$XFD$61,R54+4,FALSE),0)</f>
        <v/>
      </c>
      <c r="CA54">
        <f>IFERROR(VLOOKUP(CA$6,Hoja1!$F$2:$XFD$61,S54+4,FALSE),0)</f>
        <v/>
      </c>
      <c r="CB54">
        <f>IFERROR(VLOOKUP(CB$6,Hoja1!$F$2:$XFD$61,T54+4,FALSE),0)</f>
        <v/>
      </c>
      <c r="CC54">
        <f>IFERROR(VLOOKUP(CC$6,Hoja1!$F$2:$XFD$61,U54+4,FALSE),0)</f>
        <v/>
      </c>
      <c r="CD54">
        <f>IFERROR(VLOOKUP(CD$6,Hoja1!$F$2:$XFD$61,V54+4,FALSE),0)</f>
        <v/>
      </c>
      <c r="CE54">
        <f>IFERROR(VLOOKUP(CE$6,Hoja1!$F$2:$XFD$61,W54+4,FALSE),0)</f>
        <v/>
      </c>
      <c r="CF54">
        <f>IFERROR(VLOOKUP(CF$6,Hoja1!$F$2:$XFD$61,X54+4,FALSE),0)</f>
        <v/>
      </c>
      <c r="CG54">
        <f>IFERROR(VLOOKUP(CG$6,Hoja1!$F$2:$XFD$61,Y54+4,FALSE),0)</f>
        <v/>
      </c>
      <c r="CH54">
        <f>IFERROR(VLOOKUP(CH$6,Hoja1!$F$2:$XFD$61,Z54+4,FALSE),0)</f>
        <v/>
      </c>
      <c r="CI54">
        <f>IFERROR(VLOOKUP(CI$6,Hoja1!$F$2:$XFD$61,AA54+4,FALSE),0)</f>
        <v/>
      </c>
      <c r="CJ54">
        <f>IFERROR(VLOOKUP(CJ$6,Hoja1!$F$2:$XFD$61,AB54+4,FALSE),0)</f>
        <v/>
      </c>
      <c r="CK54">
        <f>IFERROR(VLOOKUP(CK$6,Hoja1!$F$2:$XFD$61,AC54+4,FALSE),0)</f>
        <v/>
      </c>
      <c r="CL54">
        <f>IFERROR(VLOOKUP(CL$6,Hoja1!$F$2:$XFD$61,AD54+4,FALSE),0)</f>
        <v/>
      </c>
      <c r="CM54">
        <f>IFERROR(VLOOKUP(CM$6,Hoja1!$F$2:$XFD$61,AE54+4,FALSE),0)</f>
        <v/>
      </c>
      <c r="CN54">
        <f>IFERROR(VLOOKUP(CN$6,Hoja1!$F$2:$XFD$61,AF54+4,FALSE),0)</f>
        <v/>
      </c>
      <c r="CO54">
        <f>IFERROR(VLOOKUP(CO$6,Hoja1!$F$2:$XFD$61,AG54+4,FALSE),0)</f>
        <v/>
      </c>
      <c r="CP54">
        <f>IFERROR(VLOOKUP(CP$6,Hoja1!$F$2:$XFD$61,AH54+4,FALSE),0)</f>
        <v/>
      </c>
      <c r="CQ54">
        <f>IFERROR(VLOOKUP(CQ$6,Hoja1!$F$2:$XFD$61,AI54+4,FALSE),0)</f>
        <v/>
      </c>
      <c r="CR54">
        <f>IFERROR(VLOOKUP(CR$6,Hoja1!$F$2:$XFD$61,AJ54+4,FALSE),0)</f>
        <v/>
      </c>
      <c r="CS54">
        <f>IFERROR(VLOOKUP(CS$6,Hoja1!$F$2:$XFD$61,AK54+4,FALSE),0)</f>
        <v/>
      </c>
      <c r="CT54">
        <f>IFERROR(VLOOKUP(CT$6,Hoja1!$F$2:$XFD$61,AL54+4,FALSE),0)</f>
        <v/>
      </c>
      <c r="CU54">
        <f>IFERROR(VLOOKUP(CU$6,Hoja1!$F$2:$XFD$61,AM54+4,FALSE),0)</f>
        <v/>
      </c>
      <c r="CV54">
        <f>IFERROR(VLOOKUP(CV$6,Hoja1!$F$2:$XFD$61,AN54+4,FALSE),0)</f>
        <v/>
      </c>
      <c r="CW54">
        <f>IFERROR(VLOOKUP(CW$6,Hoja1!$F$2:$XFD$61,AO54+4,FALSE),0)</f>
        <v/>
      </c>
      <c r="CX54">
        <f>IFERROR(VLOOKUP(CX$6,Hoja1!$F$2:$XFD$61,AP54+4,FALSE),0)</f>
        <v/>
      </c>
      <c r="CY54">
        <f>IFERROR(VLOOKUP(CY$6,Hoja1!$F$2:$XFD$61,AQ54+4,FALSE),0)</f>
        <v/>
      </c>
      <c r="CZ54">
        <f>IFERROR(VLOOKUP(CZ$6,Hoja1!$F$2:$XFD$61,AR54+4,FALSE),0)</f>
        <v/>
      </c>
      <c r="DA54">
        <f>IFERROR(VLOOKUP(DA$6,Hoja1!$F$2:$XFD$61,AS54+4,FALSE),0)</f>
        <v/>
      </c>
      <c r="DB54">
        <f>IFERROR(VLOOKUP(DB$6,Hoja1!$F$2:$XFD$61,AT54+4,FALSE),0)</f>
        <v/>
      </c>
      <c r="DC54">
        <f>IFERROR(VLOOKUP(DC$6,Hoja1!$F$2:$XFD$61,AU54+4,FALSE),0)</f>
        <v/>
      </c>
      <c r="DD54">
        <f>IFERROR(VLOOKUP(DD$6,Hoja1!$F$2:$XFD$61,AV54+4,FALSE),0)</f>
        <v/>
      </c>
      <c r="DE54">
        <f>IFERROR(VLOOKUP(DE$6,Hoja1!$F$2:$XFD$61,AW54+4,FALSE),0)</f>
        <v/>
      </c>
      <c r="DF54">
        <f>IFERROR(VLOOKUP(DF$6,Hoja1!$F$2:$XFD$61,AX54+4,FALSE),0)</f>
        <v/>
      </c>
      <c r="DG54">
        <f>IFERROR(VLOOKUP(DG$6,Hoja1!$F$2:$XFD$61,AY54+4,FALSE),0)</f>
        <v/>
      </c>
      <c r="DH54">
        <f>IFERROR(VLOOKUP(DH$6,Hoja1!$F$2:$XFD$61,AZ54+4,FALSE),0)</f>
        <v/>
      </c>
      <c r="DI54">
        <f>IFERROR(VLOOKUP(DI$6,Hoja1!$F$2:$XFD$61,BA54+4,FALSE),0)</f>
        <v/>
      </c>
      <c r="DJ54">
        <f>IFERROR(VLOOKUP(DJ$6,Hoja1!$F$2:$XFD$61,BB54+4,FALSE),0)</f>
        <v/>
      </c>
      <c r="DK54">
        <f>IFERROR(VLOOKUP(DK$6,Hoja1!$F$2:$XFD$61,BC54+4,FALSE),0)</f>
        <v/>
      </c>
      <c r="DL54">
        <f>IFERROR(VLOOKUP(DL$6,Hoja1!$F$2:$XFD$61,BD54+4,FALSE),0)</f>
        <v/>
      </c>
      <c r="DM54">
        <f>IFERROR(VLOOKUP(DM$6,Hoja1!$F$2:$XFD$61,BE54+4,FALSE),0)</f>
        <v/>
      </c>
      <c r="DN54">
        <f>IFERROR(VLOOKUP(DN$6,Hoja1!$F$2:$XFD$61,BF54+4,FALSE),0)</f>
        <v/>
      </c>
      <c r="DO54">
        <f>IFERROR(VLOOKUP(DO$6,Hoja1!$F$2:$XFD$61,BG54+4,FALSE),0)</f>
        <v/>
      </c>
      <c r="DP54">
        <f>IFERROR(VLOOKUP(DP$6,Hoja1!$F$2:$XFD$61,BH54+4,FALSE),0)</f>
        <v/>
      </c>
      <c r="DQ54">
        <f>IFERROR(VLOOKUP(DQ$6,Hoja1!$F$2:$XFD$61,BI54+4,FALSE),0)</f>
        <v/>
      </c>
      <c r="DR54">
        <f>IFERROR(VLOOKUP(DR$6,Hoja1!$F$2:$XFD$61,BJ54+4,FALSE),0)</f>
        <v/>
      </c>
      <c r="DS54">
        <f>IFERROR(VLOOKUP(DS$6,Hoja1!$F$2:$XFD$61,BK54+4,FALSE),0)</f>
        <v/>
      </c>
      <c r="DT54">
        <f>IFERROR(VLOOKUP(DT$6,Hoja1!$F$2:$XFD$61,BL54+4,FALSE),0)</f>
        <v/>
      </c>
      <c r="DU54" s="15">
        <f>IF(COUNT(E54:BL54)=$DV$7,IF(D54="","indique grupo",SUM(BM54:DT54)),"")</f>
        <v/>
      </c>
      <c r="DV54" s="16">
        <f>IF(D54&lt;&gt;"",IF(DU54="","",IF(DU54&gt;=$DU$7*Hoja1!$E$2,4+3/($DU$7*(1-Hoja1!$E$2))*(DU54-$DU$7*Hoja1!$E$2),1+3/($DU$7*Hoja1!$E$2)*DU54)),DU54)</f>
        <v/>
      </c>
      <c r="DW54" s="47" t="b">
        <v>0</v>
      </c>
    </row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2024-05-03T14:07:37Z</dcterms:modified>
  <cp:lastModifiedBy>Leandro Gutierrez A.</cp:lastModifiedBy>
  <cp:lastPrinted>2012-11-30T22:55:58Z</cp:lastPrinted>
</cp:coreProperties>
</file>