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VILLALOBOS OSCAR NICOLAS</t>
        </is>
      </c>
      <c r="C10" s="14" t="inlineStr">
        <is>
          <t>215494675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 GORMAZ GABRIEL ANDRES</t>
        </is>
      </c>
      <c r="C11" s="18" t="inlineStr">
        <is>
          <t>193277179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AHUMADA ORELLANA SEBASTIAN IGNACIO</t>
        </is>
      </c>
      <c r="C12" s="14" t="inlineStr">
        <is>
          <t>21062337K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AMPUERO AHUMADA ALEX IGNACIO</t>
        </is>
      </c>
      <c r="C13" s="18" t="inlineStr">
        <is>
          <t>215706710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APABLAZA SUART MARCELO EDUARDO</t>
        </is>
      </c>
      <c r="C14" s="14" t="inlineStr">
        <is>
          <t>219955855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BARAHONA CORDERO BENJAMIN ISAIAC MATEO</t>
        </is>
      </c>
      <c r="C15" s="14" t="inlineStr">
        <is>
          <t>219483309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CACERES NARANJO JOAQUIN IGNACIO</t>
        </is>
      </c>
      <c r="C16" s="18" t="inlineStr">
        <is>
          <t>221204085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CANDIA DONOSO LIAM ARON</t>
        </is>
      </c>
      <c r="C17" s="14" t="inlineStr">
        <is>
          <t>216167236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CANDIA HUERTA JOHAO</t>
        </is>
      </c>
      <c r="C18" s="14" t="inlineStr">
        <is>
          <t>221003675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CANQUIZ MANCILLA JOSE LUIS</t>
        </is>
      </c>
      <c r="C19" s="18" t="inlineStr">
        <is>
          <t>280402540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DIAZ ISAIAS ALEXANDER</t>
        </is>
      </c>
      <c r="C20" s="18" t="inlineStr">
        <is>
          <t>217970091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FERNANDEZ CACERES LEANDRO ANDRES</t>
        </is>
      </c>
      <c r="C21" s="18" t="inlineStr">
        <is>
          <t>208334468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ESPINOZA AGUSTIN IGNACIO</t>
        </is>
      </c>
      <c r="C22" s="18" t="inlineStr">
        <is>
          <t>218553788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FERNANDINI RIVERA FRANCO FILIPPO</t>
        </is>
      </c>
      <c r="C23" s="18" t="inlineStr">
        <is>
          <t>212018686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BALAGUERO MANUEL ANDREI</t>
        </is>
      </c>
      <c r="C24" s="18" t="inlineStr">
        <is>
          <t>218393020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MARTINEZ MATIAS ALEJANDRO</t>
        </is>
      </c>
      <c r="C25" s="18" t="inlineStr">
        <is>
          <t>216536800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GAETE ARRIAZA LUKAS IGNACIO</t>
        </is>
      </c>
      <c r="C26" s="18" t="inlineStr">
        <is>
          <t>220567389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GALLARDO PONCE CRISTOPHER</t>
        </is>
      </c>
      <c r="C27" s="18" t="inlineStr">
        <is>
          <t>214527170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GALVEZ VALENCIA MATIAS JESUS</t>
        </is>
      </c>
      <c r="C28" s="18" t="inlineStr">
        <is>
          <t>216033892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ARANDA BENJAMIN IGNACIO</t>
        </is>
      </c>
      <c r="C29" s="18" t="inlineStr">
        <is>
          <t>22027957K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GUTIERREZ HERMOSILLA MATIAS ALEJANDRO</t>
        </is>
      </c>
      <c r="C30" s="18" t="inlineStr">
        <is>
          <t>217670462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LABRA NICOLAS ANDRES</t>
        </is>
      </c>
      <c r="C31" s="18" t="inlineStr">
        <is>
          <t>208013874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HIDALGO PEREZ NICOLAS GUILLERMO</t>
        </is>
      </c>
      <c r="C32" s="18" t="inlineStr">
        <is>
          <t>208849425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JEREZ MERY NICOLAS MAXIMILIANO</t>
        </is>
      </c>
      <c r="C33" s="18" t="inlineStr">
        <is>
          <t>215849546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JORQUERA MANCILLA BRAYAN SEBASTIAN</t>
        </is>
      </c>
      <c r="C34" s="18" t="inlineStr">
        <is>
          <t>196645187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LARENAS ORDENES DAVID ALEXANDER</t>
        </is>
      </c>
      <c r="C35" s="18" t="inlineStr">
        <is>
          <t>217740649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LOPEZ BENITEZ BASTIAN IGNACIO</t>
        </is>
      </c>
      <c r="C36" s="18" t="inlineStr">
        <is>
          <t>207241792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LUFI LOPEZ ALEJANDRO LUIS</t>
        </is>
      </c>
      <c r="C37" s="18" t="inlineStr">
        <is>
          <t>188427332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MALDONADO SOTO FELIPE ORLANDO</t>
        </is>
      </c>
      <c r="C38" s="18" t="inlineStr">
        <is>
          <t>216267915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MELLA GUTIERREZ JESUS ROBERTO</t>
        </is>
      </c>
      <c r="C39" s="18" t="inlineStr">
        <is>
          <t>214582368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MENA CUEVAS VICTOR MANUEL</t>
        </is>
      </c>
      <c r="C40" s="18" t="inlineStr">
        <is>
          <t>218962920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MENDEZ ROJAS VALENTINA</t>
        </is>
      </c>
      <c r="C41" s="18" t="inlineStr">
        <is>
          <t>193515398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MESA GAETE CHRISTIAN LEONARDO JESUS</t>
        </is>
      </c>
      <c r="C42" s="18" t="inlineStr">
        <is>
          <t>220112233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MEZA COFRE LUKAS MARTIN</t>
        </is>
      </c>
      <c r="C43" s="18" t="inlineStr">
        <is>
          <t>218678572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MOLINA MILANCA ARIEL NICOLAS EXEQUIEL</t>
        </is>
      </c>
      <c r="C44" s="18" t="inlineStr">
        <is>
          <t>213263501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NEIRA AMPUERO ABRAHAM NICOLAS</t>
        </is>
      </c>
      <c r="C45" s="18" t="inlineStr">
        <is>
          <t>219134398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PIZARRO LOPEZ JUAN PABLO</t>
        </is>
      </c>
      <c r="C46" s="18" t="inlineStr">
        <is>
          <t>219748256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QUIROGA BARRERA JAVIER ALEJANDRO</t>
        </is>
      </c>
      <c r="C47" s="18" t="inlineStr">
        <is>
          <t>201718775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QUIROZ ARRIAGADA DANIEL IGNACIO</t>
        </is>
      </c>
      <c r="C48" s="18" t="inlineStr">
        <is>
          <t>212104515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RODRIGUEZ SEPULVEDA BENJAMIN</t>
        </is>
      </c>
      <c r="C49" s="18" t="inlineStr">
        <is>
          <t>216827082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SALAZAR FARIAS IGNACIO</t>
        </is>
      </c>
      <c r="C50" s="18" t="inlineStr">
        <is>
          <t>193288294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SANDOVAL RUFFO CHRISTIAN  IGNACIO</t>
        </is>
      </c>
      <c r="C51" s="18" t="inlineStr">
        <is>
          <t>219017251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SILVA BRIONES ALEX GUILLERMO ENRIQUE</t>
        </is>
      </c>
      <c r="C52" s="18" t="inlineStr">
        <is>
          <t>216455460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SILVA ORREGO FELIPE ALEJANDRO</t>
        </is>
      </c>
      <c r="C53" s="18" t="inlineStr">
        <is>
          <t>20811106K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URZUA URZUA LUCAS</t>
        </is>
      </c>
      <c r="C54" s="18" t="inlineStr">
        <is>
          <t>21303006K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>
      <c r="A55" s="17" t="n">
        <v>46</v>
      </c>
      <c r="B55" s="18" t="inlineStr">
        <is>
          <t>VERGARA ESCAMILLA LUCAS ADAN</t>
        </is>
      </c>
      <c r="C55" s="18" t="inlineStr">
        <is>
          <t>214202182</t>
        </is>
      </c>
      <c r="D55" s="1" t="n"/>
      <c r="E55" s="28" t="n"/>
      <c r="F55" s="19" t="n"/>
      <c r="G55" s="19" t="n"/>
      <c r="H55" s="19" t="n"/>
      <c r="I55" s="19" t="n"/>
      <c r="J55" s="19" t="n"/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  <c r="X55" s="19" t="n"/>
      <c r="Y55" s="19" t="n"/>
      <c r="Z55" s="19" t="n"/>
      <c r="AA55" s="19" t="n"/>
      <c r="AB55" s="19" t="n"/>
      <c r="AC55" s="19" t="n"/>
      <c r="AD55" s="19" t="n"/>
      <c r="AE55" s="19" t="n"/>
      <c r="AF55" s="19" t="n"/>
      <c r="AG55" s="19" t="n"/>
      <c r="AH55" s="19" t="n"/>
      <c r="AI55" s="19" t="n"/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29" t="n"/>
      <c r="BM55">
        <f>IFERROR(VLOOKUP(BM$6,Hoja1!$F$2:$XFD$61,E55+4,FALSE),0)</f>
        <v/>
      </c>
      <c r="BN55">
        <f>IFERROR(VLOOKUP(BN$6,Hoja1!$F$2:$XFD$61,F55+4,FALSE),0)</f>
        <v/>
      </c>
      <c r="BO55">
        <f>IFERROR(VLOOKUP(BO$6,Hoja1!$F$2:$XFD$61,G55+4,FALSE),0)</f>
        <v/>
      </c>
      <c r="BP55">
        <f>IFERROR(VLOOKUP(BP$6,Hoja1!$F$2:$XFD$61,H55+4,FALSE),0)</f>
        <v/>
      </c>
      <c r="BQ55">
        <f>IFERROR(VLOOKUP(BQ$6,Hoja1!$F$2:$XFD$61,I55+4,FALSE),0)</f>
        <v/>
      </c>
      <c r="BR55">
        <f>IFERROR(VLOOKUP(BR$6,Hoja1!$F$2:$XFD$61,J55+4,FALSE),0)</f>
        <v/>
      </c>
      <c r="BS55">
        <f>IFERROR(VLOOKUP(BS$6,Hoja1!$F$2:$XFD$61,K55+4,FALSE),0)</f>
        <v/>
      </c>
      <c r="BT55">
        <f>IFERROR(VLOOKUP(BT$6,Hoja1!$F$2:$XFD$61,L55+4,FALSE),0)</f>
        <v/>
      </c>
      <c r="BU55">
        <f>IFERROR(VLOOKUP(BU$6,Hoja1!$F$2:$XFD$61,M55+4,FALSE),0)</f>
        <v/>
      </c>
      <c r="BV55">
        <f>IFERROR(VLOOKUP(BV$6,Hoja1!$F$2:$XFD$61,N55+4,FALSE),0)</f>
        <v/>
      </c>
      <c r="BW55">
        <f>IFERROR(VLOOKUP(BW$6,Hoja1!$F$2:$XFD$61,O55+4,FALSE),0)</f>
        <v/>
      </c>
      <c r="BX55">
        <f>IFERROR(VLOOKUP(BX$6,Hoja1!$F$2:$XFD$61,P55+4,FALSE),0)</f>
        <v/>
      </c>
      <c r="BY55">
        <f>IFERROR(VLOOKUP(BY$6,Hoja1!$F$2:$XFD$61,Q55+4,FALSE),0)</f>
        <v/>
      </c>
      <c r="BZ55">
        <f>IFERROR(VLOOKUP(BZ$6,Hoja1!$F$2:$XFD$61,R55+4,FALSE),0)</f>
        <v/>
      </c>
      <c r="CA55">
        <f>IFERROR(VLOOKUP(CA$6,Hoja1!$F$2:$XFD$61,S55+4,FALSE),0)</f>
        <v/>
      </c>
      <c r="CB55">
        <f>IFERROR(VLOOKUP(CB$6,Hoja1!$F$2:$XFD$61,T55+4,FALSE),0)</f>
        <v/>
      </c>
      <c r="CC55">
        <f>IFERROR(VLOOKUP(CC$6,Hoja1!$F$2:$XFD$61,U55+4,FALSE),0)</f>
        <v/>
      </c>
      <c r="CD55">
        <f>IFERROR(VLOOKUP(CD$6,Hoja1!$F$2:$XFD$61,V55+4,FALSE),0)</f>
        <v/>
      </c>
      <c r="CE55">
        <f>IFERROR(VLOOKUP(CE$6,Hoja1!$F$2:$XFD$61,W55+4,FALSE),0)</f>
        <v/>
      </c>
      <c r="CF55">
        <f>IFERROR(VLOOKUP(CF$6,Hoja1!$F$2:$XFD$61,X55+4,FALSE),0)</f>
        <v/>
      </c>
      <c r="CG55">
        <f>IFERROR(VLOOKUP(CG$6,Hoja1!$F$2:$XFD$61,Y55+4,FALSE),0)</f>
        <v/>
      </c>
      <c r="CH55">
        <f>IFERROR(VLOOKUP(CH$6,Hoja1!$F$2:$XFD$61,Z55+4,FALSE),0)</f>
        <v/>
      </c>
      <c r="CI55">
        <f>IFERROR(VLOOKUP(CI$6,Hoja1!$F$2:$XFD$61,AA55+4,FALSE),0)</f>
        <v/>
      </c>
      <c r="CJ55">
        <f>IFERROR(VLOOKUP(CJ$6,Hoja1!$F$2:$XFD$61,AB55+4,FALSE),0)</f>
        <v/>
      </c>
      <c r="CK55">
        <f>IFERROR(VLOOKUP(CK$6,Hoja1!$F$2:$XFD$61,AC55+4,FALSE),0)</f>
        <v/>
      </c>
      <c r="CL55">
        <f>IFERROR(VLOOKUP(CL$6,Hoja1!$F$2:$XFD$61,AD55+4,FALSE),0)</f>
        <v/>
      </c>
      <c r="CM55">
        <f>IFERROR(VLOOKUP(CM$6,Hoja1!$F$2:$XFD$61,AE55+4,FALSE),0)</f>
        <v/>
      </c>
      <c r="CN55">
        <f>IFERROR(VLOOKUP(CN$6,Hoja1!$F$2:$XFD$61,AF55+4,FALSE),0)</f>
        <v/>
      </c>
      <c r="CO55">
        <f>IFERROR(VLOOKUP(CO$6,Hoja1!$F$2:$XFD$61,AG55+4,FALSE),0)</f>
        <v/>
      </c>
      <c r="CP55">
        <f>IFERROR(VLOOKUP(CP$6,Hoja1!$F$2:$XFD$61,AH55+4,FALSE),0)</f>
        <v/>
      </c>
      <c r="CQ55">
        <f>IFERROR(VLOOKUP(CQ$6,Hoja1!$F$2:$XFD$61,AI55+4,FALSE),0)</f>
        <v/>
      </c>
      <c r="CR55">
        <f>IFERROR(VLOOKUP(CR$6,Hoja1!$F$2:$XFD$61,AJ55+4,FALSE),0)</f>
        <v/>
      </c>
      <c r="CS55">
        <f>IFERROR(VLOOKUP(CS$6,Hoja1!$F$2:$XFD$61,AK55+4,FALSE),0)</f>
        <v/>
      </c>
      <c r="CT55">
        <f>IFERROR(VLOOKUP(CT$6,Hoja1!$F$2:$XFD$61,AL55+4,FALSE),0)</f>
        <v/>
      </c>
      <c r="CU55">
        <f>IFERROR(VLOOKUP(CU$6,Hoja1!$F$2:$XFD$61,AM55+4,FALSE),0)</f>
        <v/>
      </c>
      <c r="CV55">
        <f>IFERROR(VLOOKUP(CV$6,Hoja1!$F$2:$XFD$61,AN55+4,FALSE),0)</f>
        <v/>
      </c>
      <c r="CW55">
        <f>IFERROR(VLOOKUP(CW$6,Hoja1!$F$2:$XFD$61,AO55+4,FALSE),0)</f>
        <v/>
      </c>
      <c r="CX55">
        <f>IFERROR(VLOOKUP(CX$6,Hoja1!$F$2:$XFD$61,AP55+4,FALSE),0)</f>
        <v/>
      </c>
      <c r="CY55">
        <f>IFERROR(VLOOKUP(CY$6,Hoja1!$F$2:$XFD$61,AQ55+4,FALSE),0)</f>
        <v/>
      </c>
      <c r="CZ55">
        <f>IFERROR(VLOOKUP(CZ$6,Hoja1!$F$2:$XFD$61,AR55+4,FALSE),0)</f>
        <v/>
      </c>
      <c r="DA55">
        <f>IFERROR(VLOOKUP(DA$6,Hoja1!$F$2:$XFD$61,AS55+4,FALSE),0)</f>
        <v/>
      </c>
      <c r="DB55">
        <f>IFERROR(VLOOKUP(DB$6,Hoja1!$F$2:$XFD$61,AT55+4,FALSE),0)</f>
        <v/>
      </c>
      <c r="DC55">
        <f>IFERROR(VLOOKUP(DC$6,Hoja1!$F$2:$XFD$61,AU55+4,FALSE),0)</f>
        <v/>
      </c>
      <c r="DD55">
        <f>IFERROR(VLOOKUP(DD$6,Hoja1!$F$2:$XFD$61,AV55+4,FALSE),0)</f>
        <v/>
      </c>
      <c r="DE55">
        <f>IFERROR(VLOOKUP(DE$6,Hoja1!$F$2:$XFD$61,AW55+4,FALSE),0)</f>
        <v/>
      </c>
      <c r="DF55">
        <f>IFERROR(VLOOKUP(DF$6,Hoja1!$F$2:$XFD$61,AX55+4,FALSE),0)</f>
        <v/>
      </c>
      <c r="DG55">
        <f>IFERROR(VLOOKUP(DG$6,Hoja1!$F$2:$XFD$61,AY55+4,FALSE),0)</f>
        <v/>
      </c>
      <c r="DH55">
        <f>IFERROR(VLOOKUP(DH$6,Hoja1!$F$2:$XFD$61,AZ55+4,FALSE),0)</f>
        <v/>
      </c>
      <c r="DI55">
        <f>IFERROR(VLOOKUP(DI$6,Hoja1!$F$2:$XFD$61,BA55+4,FALSE),0)</f>
        <v/>
      </c>
      <c r="DJ55">
        <f>IFERROR(VLOOKUP(DJ$6,Hoja1!$F$2:$XFD$61,BB55+4,FALSE),0)</f>
        <v/>
      </c>
      <c r="DK55">
        <f>IFERROR(VLOOKUP(DK$6,Hoja1!$F$2:$XFD$61,BC55+4,FALSE),0)</f>
        <v/>
      </c>
      <c r="DL55">
        <f>IFERROR(VLOOKUP(DL$6,Hoja1!$F$2:$XFD$61,BD55+4,FALSE),0)</f>
        <v/>
      </c>
      <c r="DM55">
        <f>IFERROR(VLOOKUP(DM$6,Hoja1!$F$2:$XFD$61,BE55+4,FALSE),0)</f>
        <v/>
      </c>
      <c r="DN55">
        <f>IFERROR(VLOOKUP(DN$6,Hoja1!$F$2:$XFD$61,BF55+4,FALSE),0)</f>
        <v/>
      </c>
      <c r="DO55">
        <f>IFERROR(VLOOKUP(DO$6,Hoja1!$F$2:$XFD$61,BG55+4,FALSE),0)</f>
        <v/>
      </c>
      <c r="DP55">
        <f>IFERROR(VLOOKUP(DP$6,Hoja1!$F$2:$XFD$61,BH55+4,FALSE),0)</f>
        <v/>
      </c>
      <c r="DQ55">
        <f>IFERROR(VLOOKUP(DQ$6,Hoja1!$F$2:$XFD$61,BI55+4,FALSE),0)</f>
        <v/>
      </c>
      <c r="DR55">
        <f>IFERROR(VLOOKUP(DR$6,Hoja1!$F$2:$XFD$61,BJ55+4,FALSE),0)</f>
        <v/>
      </c>
      <c r="DS55">
        <f>IFERROR(VLOOKUP(DS$6,Hoja1!$F$2:$XFD$61,BK55+4,FALSE),0)</f>
        <v/>
      </c>
      <c r="DT55">
        <f>IFERROR(VLOOKUP(DT$6,Hoja1!$F$2:$XFD$61,BL55+4,FALSE),0)</f>
        <v/>
      </c>
      <c r="DU55" s="15">
        <f>IF(COUNT(E55:BL55)=$DV$7,IF(D55="","indique grupo",SUM(BM55:DT55)),"")</f>
        <v/>
      </c>
      <c r="DV55" s="16">
        <f>IF(D55&lt;&gt;"",IF(DU55="","",IF(DU55&gt;=$DU$7*Hoja1!$E$2,4+3/($DU$7*(1-Hoja1!$E$2))*(DU55-$DU$7*Hoja1!$E$2),1+3/($DU$7*Hoja1!$E$2)*DU55)),DU55)</f>
        <v/>
      </c>
      <c r="DW55" s="47" t="b">
        <v>0</v>
      </c>
    </row>
    <row r="56" ht="23.25" customHeight="1">
      <c r="A56" s="17" t="n">
        <v>47</v>
      </c>
      <c r="B56" s="18" t="inlineStr">
        <is>
          <t>VILCHES VALDEBENITO LEANDRO ANDRES</t>
        </is>
      </c>
      <c r="C56" s="18" t="inlineStr">
        <is>
          <t>214917580</t>
        </is>
      </c>
      <c r="D56" s="1" t="n"/>
      <c r="E56" s="28" t="n"/>
      <c r="F56" s="19" t="n"/>
      <c r="G56" s="19" t="n"/>
      <c r="H56" s="19" t="n"/>
      <c r="I56" s="19" t="n"/>
      <c r="J56" s="19" t="n"/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  <c r="X56" s="19" t="n"/>
      <c r="Y56" s="19" t="n"/>
      <c r="Z56" s="19" t="n"/>
      <c r="AA56" s="19" t="n"/>
      <c r="AB56" s="19" t="n"/>
      <c r="AC56" s="19" t="n"/>
      <c r="AD56" s="19" t="n"/>
      <c r="AE56" s="19" t="n"/>
      <c r="AF56" s="19" t="n"/>
      <c r="AG56" s="19" t="n"/>
      <c r="AH56" s="19" t="n"/>
      <c r="AI56" s="19" t="n"/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29" t="n"/>
      <c r="BM56">
        <f>IFERROR(VLOOKUP(BM$6,Hoja1!$F$2:$XFD$61,E56+4,FALSE),0)</f>
        <v/>
      </c>
      <c r="BN56">
        <f>IFERROR(VLOOKUP(BN$6,Hoja1!$F$2:$XFD$61,F56+4,FALSE),0)</f>
        <v/>
      </c>
      <c r="BO56">
        <f>IFERROR(VLOOKUP(BO$6,Hoja1!$F$2:$XFD$61,G56+4,FALSE),0)</f>
        <v/>
      </c>
      <c r="BP56">
        <f>IFERROR(VLOOKUP(BP$6,Hoja1!$F$2:$XFD$61,H56+4,FALSE),0)</f>
        <v/>
      </c>
      <c r="BQ56">
        <f>IFERROR(VLOOKUP(BQ$6,Hoja1!$F$2:$XFD$61,I56+4,FALSE),0)</f>
        <v/>
      </c>
      <c r="BR56">
        <f>IFERROR(VLOOKUP(BR$6,Hoja1!$F$2:$XFD$61,J56+4,FALSE),0)</f>
        <v/>
      </c>
      <c r="BS56">
        <f>IFERROR(VLOOKUP(BS$6,Hoja1!$F$2:$XFD$61,K56+4,FALSE),0)</f>
        <v/>
      </c>
      <c r="BT56">
        <f>IFERROR(VLOOKUP(BT$6,Hoja1!$F$2:$XFD$61,L56+4,FALSE),0)</f>
        <v/>
      </c>
      <c r="BU56">
        <f>IFERROR(VLOOKUP(BU$6,Hoja1!$F$2:$XFD$61,M56+4,FALSE),0)</f>
        <v/>
      </c>
      <c r="BV56">
        <f>IFERROR(VLOOKUP(BV$6,Hoja1!$F$2:$XFD$61,N56+4,FALSE),0)</f>
        <v/>
      </c>
      <c r="BW56">
        <f>IFERROR(VLOOKUP(BW$6,Hoja1!$F$2:$XFD$61,O56+4,FALSE),0)</f>
        <v/>
      </c>
      <c r="BX56">
        <f>IFERROR(VLOOKUP(BX$6,Hoja1!$F$2:$XFD$61,P56+4,FALSE),0)</f>
        <v/>
      </c>
      <c r="BY56">
        <f>IFERROR(VLOOKUP(BY$6,Hoja1!$F$2:$XFD$61,Q56+4,FALSE),0)</f>
        <v/>
      </c>
      <c r="BZ56">
        <f>IFERROR(VLOOKUP(BZ$6,Hoja1!$F$2:$XFD$61,R56+4,FALSE),0)</f>
        <v/>
      </c>
      <c r="CA56">
        <f>IFERROR(VLOOKUP(CA$6,Hoja1!$F$2:$XFD$61,S56+4,FALSE),0)</f>
        <v/>
      </c>
      <c r="CB56">
        <f>IFERROR(VLOOKUP(CB$6,Hoja1!$F$2:$XFD$61,T56+4,FALSE),0)</f>
        <v/>
      </c>
      <c r="CC56">
        <f>IFERROR(VLOOKUP(CC$6,Hoja1!$F$2:$XFD$61,U56+4,FALSE),0)</f>
        <v/>
      </c>
      <c r="CD56">
        <f>IFERROR(VLOOKUP(CD$6,Hoja1!$F$2:$XFD$61,V56+4,FALSE),0)</f>
        <v/>
      </c>
      <c r="CE56">
        <f>IFERROR(VLOOKUP(CE$6,Hoja1!$F$2:$XFD$61,W56+4,FALSE),0)</f>
        <v/>
      </c>
      <c r="CF56">
        <f>IFERROR(VLOOKUP(CF$6,Hoja1!$F$2:$XFD$61,X56+4,FALSE),0)</f>
        <v/>
      </c>
      <c r="CG56">
        <f>IFERROR(VLOOKUP(CG$6,Hoja1!$F$2:$XFD$61,Y56+4,FALSE),0)</f>
        <v/>
      </c>
      <c r="CH56">
        <f>IFERROR(VLOOKUP(CH$6,Hoja1!$F$2:$XFD$61,Z56+4,FALSE),0)</f>
        <v/>
      </c>
      <c r="CI56">
        <f>IFERROR(VLOOKUP(CI$6,Hoja1!$F$2:$XFD$61,AA56+4,FALSE),0)</f>
        <v/>
      </c>
      <c r="CJ56">
        <f>IFERROR(VLOOKUP(CJ$6,Hoja1!$F$2:$XFD$61,AB56+4,FALSE),0)</f>
        <v/>
      </c>
      <c r="CK56">
        <f>IFERROR(VLOOKUP(CK$6,Hoja1!$F$2:$XFD$61,AC56+4,FALSE),0)</f>
        <v/>
      </c>
      <c r="CL56">
        <f>IFERROR(VLOOKUP(CL$6,Hoja1!$F$2:$XFD$61,AD56+4,FALSE),0)</f>
        <v/>
      </c>
      <c r="CM56">
        <f>IFERROR(VLOOKUP(CM$6,Hoja1!$F$2:$XFD$61,AE56+4,FALSE),0)</f>
        <v/>
      </c>
      <c r="CN56">
        <f>IFERROR(VLOOKUP(CN$6,Hoja1!$F$2:$XFD$61,AF56+4,FALSE),0)</f>
        <v/>
      </c>
      <c r="CO56">
        <f>IFERROR(VLOOKUP(CO$6,Hoja1!$F$2:$XFD$61,AG56+4,FALSE),0)</f>
        <v/>
      </c>
      <c r="CP56">
        <f>IFERROR(VLOOKUP(CP$6,Hoja1!$F$2:$XFD$61,AH56+4,FALSE),0)</f>
        <v/>
      </c>
      <c r="CQ56">
        <f>IFERROR(VLOOKUP(CQ$6,Hoja1!$F$2:$XFD$61,AI56+4,FALSE),0)</f>
        <v/>
      </c>
      <c r="CR56">
        <f>IFERROR(VLOOKUP(CR$6,Hoja1!$F$2:$XFD$61,AJ56+4,FALSE),0)</f>
        <v/>
      </c>
      <c r="CS56">
        <f>IFERROR(VLOOKUP(CS$6,Hoja1!$F$2:$XFD$61,AK56+4,FALSE),0)</f>
        <v/>
      </c>
      <c r="CT56">
        <f>IFERROR(VLOOKUP(CT$6,Hoja1!$F$2:$XFD$61,AL56+4,FALSE),0)</f>
        <v/>
      </c>
      <c r="CU56">
        <f>IFERROR(VLOOKUP(CU$6,Hoja1!$F$2:$XFD$61,AM56+4,FALSE),0)</f>
        <v/>
      </c>
      <c r="CV56">
        <f>IFERROR(VLOOKUP(CV$6,Hoja1!$F$2:$XFD$61,AN56+4,FALSE),0)</f>
        <v/>
      </c>
      <c r="CW56">
        <f>IFERROR(VLOOKUP(CW$6,Hoja1!$F$2:$XFD$61,AO56+4,FALSE),0)</f>
        <v/>
      </c>
      <c r="CX56">
        <f>IFERROR(VLOOKUP(CX$6,Hoja1!$F$2:$XFD$61,AP56+4,FALSE),0)</f>
        <v/>
      </c>
      <c r="CY56">
        <f>IFERROR(VLOOKUP(CY$6,Hoja1!$F$2:$XFD$61,AQ56+4,FALSE),0)</f>
        <v/>
      </c>
      <c r="CZ56">
        <f>IFERROR(VLOOKUP(CZ$6,Hoja1!$F$2:$XFD$61,AR56+4,FALSE),0)</f>
        <v/>
      </c>
      <c r="DA56">
        <f>IFERROR(VLOOKUP(DA$6,Hoja1!$F$2:$XFD$61,AS56+4,FALSE),0)</f>
        <v/>
      </c>
      <c r="DB56">
        <f>IFERROR(VLOOKUP(DB$6,Hoja1!$F$2:$XFD$61,AT56+4,FALSE),0)</f>
        <v/>
      </c>
      <c r="DC56">
        <f>IFERROR(VLOOKUP(DC$6,Hoja1!$F$2:$XFD$61,AU56+4,FALSE),0)</f>
        <v/>
      </c>
      <c r="DD56">
        <f>IFERROR(VLOOKUP(DD$6,Hoja1!$F$2:$XFD$61,AV56+4,FALSE),0)</f>
        <v/>
      </c>
      <c r="DE56">
        <f>IFERROR(VLOOKUP(DE$6,Hoja1!$F$2:$XFD$61,AW56+4,FALSE),0)</f>
        <v/>
      </c>
      <c r="DF56">
        <f>IFERROR(VLOOKUP(DF$6,Hoja1!$F$2:$XFD$61,AX56+4,FALSE),0)</f>
        <v/>
      </c>
      <c r="DG56">
        <f>IFERROR(VLOOKUP(DG$6,Hoja1!$F$2:$XFD$61,AY56+4,FALSE),0)</f>
        <v/>
      </c>
      <c r="DH56">
        <f>IFERROR(VLOOKUP(DH$6,Hoja1!$F$2:$XFD$61,AZ56+4,FALSE),0)</f>
        <v/>
      </c>
      <c r="DI56">
        <f>IFERROR(VLOOKUP(DI$6,Hoja1!$F$2:$XFD$61,BA56+4,FALSE),0)</f>
        <v/>
      </c>
      <c r="DJ56">
        <f>IFERROR(VLOOKUP(DJ$6,Hoja1!$F$2:$XFD$61,BB56+4,FALSE),0)</f>
        <v/>
      </c>
      <c r="DK56">
        <f>IFERROR(VLOOKUP(DK$6,Hoja1!$F$2:$XFD$61,BC56+4,FALSE),0)</f>
        <v/>
      </c>
      <c r="DL56">
        <f>IFERROR(VLOOKUP(DL$6,Hoja1!$F$2:$XFD$61,BD56+4,FALSE),0)</f>
        <v/>
      </c>
      <c r="DM56">
        <f>IFERROR(VLOOKUP(DM$6,Hoja1!$F$2:$XFD$61,BE56+4,FALSE),0)</f>
        <v/>
      </c>
      <c r="DN56">
        <f>IFERROR(VLOOKUP(DN$6,Hoja1!$F$2:$XFD$61,BF56+4,FALSE),0)</f>
        <v/>
      </c>
      <c r="DO56">
        <f>IFERROR(VLOOKUP(DO$6,Hoja1!$F$2:$XFD$61,BG56+4,FALSE),0)</f>
        <v/>
      </c>
      <c r="DP56">
        <f>IFERROR(VLOOKUP(DP$6,Hoja1!$F$2:$XFD$61,BH56+4,FALSE),0)</f>
        <v/>
      </c>
      <c r="DQ56">
        <f>IFERROR(VLOOKUP(DQ$6,Hoja1!$F$2:$XFD$61,BI56+4,FALSE),0)</f>
        <v/>
      </c>
      <c r="DR56">
        <f>IFERROR(VLOOKUP(DR$6,Hoja1!$F$2:$XFD$61,BJ56+4,FALSE),0)</f>
        <v/>
      </c>
      <c r="DS56">
        <f>IFERROR(VLOOKUP(DS$6,Hoja1!$F$2:$XFD$61,BK56+4,FALSE),0)</f>
        <v/>
      </c>
      <c r="DT56">
        <f>IFERROR(VLOOKUP(DT$6,Hoja1!$F$2:$XFD$61,BL56+4,FALSE),0)</f>
        <v/>
      </c>
      <c r="DU56" s="15">
        <f>IF(COUNT(E56:BL56)=$DV$7,IF(D56="","indique grupo",SUM(BM56:DT56)),"")</f>
        <v/>
      </c>
      <c r="DV56" s="16">
        <f>IF(D56&lt;&gt;"",IF(DU56="","",IF(DU56&gt;=$DU$7*Hoja1!$E$2,4+3/($DU$7*(1-Hoja1!$E$2))*(DU56-$DU$7*Hoja1!$E$2),1+3/($DU$7*Hoja1!$E$2)*DU56)),DU56)</f>
        <v/>
      </c>
      <c r="DW56" s="47" t="b">
        <v>0</v>
      </c>
    </row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2024-05-03T14:10:30Z</dcterms:modified>
  <cp:lastModifiedBy>Leandro Gutierrez A.</cp:lastModifiedBy>
  <cp:lastPrinted>2012-11-30T22:55:58Z</cp:lastPrinted>
</cp:coreProperties>
</file>