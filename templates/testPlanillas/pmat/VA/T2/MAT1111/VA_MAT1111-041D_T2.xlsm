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8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ACOSTA MAUREIRA JOSE FERNANDO</t>
        </is>
      </c>
      <c r="C10" s="14" t="inlineStr">
        <is>
          <t>219447663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ACUNA HIDALGO MAXIMILIANO OMAR</t>
        </is>
      </c>
      <c r="C11" s="18" t="inlineStr">
        <is>
          <t>217739217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ARANCIBIA PERALTA JOAQUIN</t>
        </is>
      </c>
      <c r="C12" s="14" t="inlineStr">
        <is>
          <t>220058875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ARAYA BUGUENO FRANK BECKHAM</t>
        </is>
      </c>
      <c r="C13" s="18" t="inlineStr">
        <is>
          <t>218937640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AVALOS ORDENES DAMIAN ALEXIS</t>
        </is>
      </c>
      <c r="C14" s="14" t="inlineStr">
        <is>
          <t>220811433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AVALOS SANTOS JAVIER ALEJANDRO</t>
        </is>
      </c>
      <c r="C15" s="14" t="inlineStr">
        <is>
          <t>219866127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BASAEZ GODOY MAURICIO AQUILES</t>
        </is>
      </c>
      <c r="C16" s="18" t="inlineStr">
        <is>
          <t>215957470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CABEZAS MARAMBIO CRISTOBAL ANDRES</t>
        </is>
      </c>
      <c r="C17" s="14" t="inlineStr">
        <is>
          <t>218544401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CAMPOS AHUMADA VICTOR ENRIQUE</t>
        </is>
      </c>
      <c r="C18" s="14" t="inlineStr">
        <is>
          <t>218922783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CANEO FERNANDEZ BENJAMIN</t>
        </is>
      </c>
      <c r="C19" s="18" t="inlineStr">
        <is>
          <t>219980841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CORTEZ CAMPOS RODRIGO ALEXANDER MISAEL</t>
        </is>
      </c>
      <c r="C20" s="18" t="inlineStr">
        <is>
          <t>219470886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CUEVAS MIRANDA EMERSON BRAULIO</t>
        </is>
      </c>
      <c r="C21" s="18" t="inlineStr">
        <is>
          <t>218998429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DURAN IGHNAIM RAGEH YABRA</t>
        </is>
      </c>
      <c r="C22" s="18" t="inlineStr">
        <is>
          <t>219383320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ESCOBAR SILVA JULIAN</t>
        </is>
      </c>
      <c r="C23" s="18" t="inlineStr">
        <is>
          <t>21450958K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ESTAY SUAREZ ALEXANDER NICOLAS</t>
        </is>
      </c>
      <c r="C24" s="18" t="inlineStr">
        <is>
          <t>218664970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FARIAS GIL LUCKAS FELIPE</t>
        </is>
      </c>
      <c r="C25" s="18" t="inlineStr">
        <is>
          <t>208781359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FLORES FUENTES JOAQUIN NICOLAS</t>
        </is>
      </c>
      <c r="C26" s="18" t="inlineStr">
        <is>
          <t>215785025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GONZALEZ DELGADO ALEXSANDER FRANCISCO</t>
        </is>
      </c>
      <c r="C27" s="18" t="inlineStr">
        <is>
          <t>217998026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HERRERA GARCES MATIAS ALEJANDRO</t>
        </is>
      </c>
      <c r="C28" s="18" t="inlineStr">
        <is>
          <t>190484378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LAGOS CAMPOS BASTIAN IGNACIO</t>
        </is>
      </c>
      <c r="C29" s="18" t="inlineStr">
        <is>
          <t>212119946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LARROSA LAZCANO MATEO OSVALDO</t>
        </is>
      </c>
      <c r="C30" s="18" t="inlineStr">
        <is>
          <t>218767915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LEIVA HUERTA MATIAS BENJAMIN</t>
        </is>
      </c>
      <c r="C31" s="18" t="inlineStr">
        <is>
          <t>220040186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LOBOS MARTINEZ MIRCO ANTONIO</t>
        </is>
      </c>
      <c r="C32" s="18" t="inlineStr">
        <is>
          <t>219742231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MAZUELA FIGUEROA FERNANDO JOSE</t>
        </is>
      </c>
      <c r="C33" s="18" t="inlineStr">
        <is>
          <t>214880415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MILLAR AGUIRRE MARTINA ARIELA</t>
        </is>
      </c>
      <c r="C34" s="18" t="inlineStr">
        <is>
          <t>219279396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PEREZ MARDONES BRUNO IGNACIO</t>
        </is>
      </c>
      <c r="C35" s="18" t="inlineStr">
        <is>
          <t>218390331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RIOS TRUJILLO ALEXANDER EDUARDO</t>
        </is>
      </c>
      <c r="C36" s="18" t="inlineStr">
        <is>
          <t>218334717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RIVAS OLIVARES JOSE MIGUEL DE JESUS</t>
        </is>
      </c>
      <c r="C37" s="18" t="inlineStr">
        <is>
          <t>218928072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RIVEROS AHUMADA JUAN ANTONIO</t>
        </is>
      </c>
      <c r="C38" s="18" t="inlineStr">
        <is>
          <t>216429648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RIVEROS POBLETE CARLOS JOAQUIN IGNACIO</t>
        </is>
      </c>
      <c r="C39" s="18" t="inlineStr">
        <is>
          <t>219316232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ROJAS NUNEZ FRANCISCO</t>
        </is>
      </c>
      <c r="C40" s="18" t="inlineStr">
        <is>
          <t>205395229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ROMERO ESPINOZA FERNANDO ALFONSO</t>
        </is>
      </c>
      <c r="C41" s="18" t="inlineStr">
        <is>
          <t>220954692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SALINAS MORALES NELSON RAUL</t>
        </is>
      </c>
      <c r="C42" s="18" t="inlineStr">
        <is>
          <t>21623653K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SANCHEZ ALANIS NICK EDUARDO</t>
        </is>
      </c>
      <c r="C43" s="18" t="inlineStr">
        <is>
          <t>207195138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SANCHEZ FABIO BRAYAN ALEJANDRO</t>
        </is>
      </c>
      <c r="C44" s="18" t="inlineStr">
        <is>
          <t>216105206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SILVA NARANJO BENJAMIN IGNACIO</t>
        </is>
      </c>
      <c r="C45" s="18" t="inlineStr">
        <is>
          <t>213885669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SILVA SILVA MAURICIO IGNACIO</t>
        </is>
      </c>
      <c r="C46" s="18" t="inlineStr">
        <is>
          <t>216918282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SOLIS ULLOA VICENTE</t>
        </is>
      </c>
      <c r="C47" s="18" t="inlineStr">
        <is>
          <t>21374206K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>
      <c r="A48" s="17" t="n">
        <v>39</v>
      </c>
      <c r="B48" s="18" t="inlineStr">
        <is>
          <t>URRUTIA VENEGAS FELIPE IGNACIO</t>
        </is>
      </c>
      <c r="C48" s="18" t="inlineStr">
        <is>
          <t>216559703</t>
        </is>
      </c>
      <c r="D48" s="1" t="n"/>
      <c r="E48" s="28" t="n"/>
      <c r="F48" s="19" t="n"/>
      <c r="G48" s="19" t="n"/>
      <c r="H48" s="19" t="n"/>
      <c r="I48" s="19" t="n"/>
      <c r="J48" s="19" t="n"/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  <c r="X48" s="19" t="n"/>
      <c r="Y48" s="19" t="n"/>
      <c r="Z48" s="19" t="n"/>
      <c r="AA48" s="19" t="n"/>
      <c r="AB48" s="19" t="n"/>
      <c r="AC48" s="19" t="n"/>
      <c r="AD48" s="19" t="n"/>
      <c r="AE48" s="19" t="n"/>
      <c r="AF48" s="19" t="n"/>
      <c r="AG48" s="19" t="n"/>
      <c r="AH48" s="19" t="n"/>
      <c r="AI48" s="19" t="n"/>
      <c r="AJ48" s="19" t="n"/>
      <c r="AK48" s="19" t="n"/>
      <c r="AL48" s="19" t="n"/>
      <c r="AM48" s="19" t="n"/>
      <c r="AN48" s="19" t="n"/>
      <c r="AO48" s="19" t="n"/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  <c r="BK48" s="19" t="n"/>
      <c r="BL48" s="29" t="n"/>
      <c r="BM48">
        <f>IFERROR(VLOOKUP(BM$6,Hoja1!$F$2:$XFD$61,E48+4,FALSE),0)</f>
        <v/>
      </c>
      <c r="BN48">
        <f>IFERROR(VLOOKUP(BN$6,Hoja1!$F$2:$XFD$61,F48+4,FALSE),0)</f>
        <v/>
      </c>
      <c r="BO48">
        <f>IFERROR(VLOOKUP(BO$6,Hoja1!$F$2:$XFD$61,G48+4,FALSE),0)</f>
        <v/>
      </c>
      <c r="BP48">
        <f>IFERROR(VLOOKUP(BP$6,Hoja1!$F$2:$XFD$61,H48+4,FALSE),0)</f>
        <v/>
      </c>
      <c r="BQ48">
        <f>IFERROR(VLOOKUP(BQ$6,Hoja1!$F$2:$XFD$61,I48+4,FALSE),0)</f>
        <v/>
      </c>
      <c r="BR48">
        <f>IFERROR(VLOOKUP(BR$6,Hoja1!$F$2:$XFD$61,J48+4,FALSE),0)</f>
        <v/>
      </c>
      <c r="BS48">
        <f>IFERROR(VLOOKUP(BS$6,Hoja1!$F$2:$XFD$61,K48+4,FALSE),0)</f>
        <v/>
      </c>
      <c r="BT48">
        <f>IFERROR(VLOOKUP(BT$6,Hoja1!$F$2:$XFD$61,L48+4,FALSE),0)</f>
        <v/>
      </c>
      <c r="BU48">
        <f>IFERROR(VLOOKUP(BU$6,Hoja1!$F$2:$XFD$61,M48+4,FALSE),0)</f>
        <v/>
      </c>
      <c r="BV48">
        <f>IFERROR(VLOOKUP(BV$6,Hoja1!$F$2:$XFD$61,N48+4,FALSE),0)</f>
        <v/>
      </c>
      <c r="BW48">
        <f>IFERROR(VLOOKUP(BW$6,Hoja1!$F$2:$XFD$61,O48+4,FALSE),0)</f>
        <v/>
      </c>
      <c r="BX48">
        <f>IFERROR(VLOOKUP(BX$6,Hoja1!$F$2:$XFD$61,P48+4,FALSE),0)</f>
        <v/>
      </c>
      <c r="BY48">
        <f>IFERROR(VLOOKUP(BY$6,Hoja1!$F$2:$XFD$61,Q48+4,FALSE),0)</f>
        <v/>
      </c>
      <c r="BZ48">
        <f>IFERROR(VLOOKUP(BZ$6,Hoja1!$F$2:$XFD$61,R48+4,FALSE),0)</f>
        <v/>
      </c>
      <c r="CA48">
        <f>IFERROR(VLOOKUP(CA$6,Hoja1!$F$2:$XFD$61,S48+4,FALSE),0)</f>
        <v/>
      </c>
      <c r="CB48">
        <f>IFERROR(VLOOKUP(CB$6,Hoja1!$F$2:$XFD$61,T48+4,FALSE),0)</f>
        <v/>
      </c>
      <c r="CC48">
        <f>IFERROR(VLOOKUP(CC$6,Hoja1!$F$2:$XFD$61,U48+4,FALSE),0)</f>
        <v/>
      </c>
      <c r="CD48">
        <f>IFERROR(VLOOKUP(CD$6,Hoja1!$F$2:$XFD$61,V48+4,FALSE),0)</f>
        <v/>
      </c>
      <c r="CE48">
        <f>IFERROR(VLOOKUP(CE$6,Hoja1!$F$2:$XFD$61,W48+4,FALSE),0)</f>
        <v/>
      </c>
      <c r="CF48">
        <f>IFERROR(VLOOKUP(CF$6,Hoja1!$F$2:$XFD$61,X48+4,FALSE),0)</f>
        <v/>
      </c>
      <c r="CG48">
        <f>IFERROR(VLOOKUP(CG$6,Hoja1!$F$2:$XFD$61,Y48+4,FALSE),0)</f>
        <v/>
      </c>
      <c r="CH48">
        <f>IFERROR(VLOOKUP(CH$6,Hoja1!$F$2:$XFD$61,Z48+4,FALSE),0)</f>
        <v/>
      </c>
      <c r="CI48">
        <f>IFERROR(VLOOKUP(CI$6,Hoja1!$F$2:$XFD$61,AA48+4,FALSE),0)</f>
        <v/>
      </c>
      <c r="CJ48">
        <f>IFERROR(VLOOKUP(CJ$6,Hoja1!$F$2:$XFD$61,AB48+4,FALSE),0)</f>
        <v/>
      </c>
      <c r="CK48">
        <f>IFERROR(VLOOKUP(CK$6,Hoja1!$F$2:$XFD$61,AC48+4,FALSE),0)</f>
        <v/>
      </c>
      <c r="CL48">
        <f>IFERROR(VLOOKUP(CL$6,Hoja1!$F$2:$XFD$61,AD48+4,FALSE),0)</f>
        <v/>
      </c>
      <c r="CM48">
        <f>IFERROR(VLOOKUP(CM$6,Hoja1!$F$2:$XFD$61,AE48+4,FALSE),0)</f>
        <v/>
      </c>
      <c r="CN48">
        <f>IFERROR(VLOOKUP(CN$6,Hoja1!$F$2:$XFD$61,AF48+4,FALSE),0)</f>
        <v/>
      </c>
      <c r="CO48">
        <f>IFERROR(VLOOKUP(CO$6,Hoja1!$F$2:$XFD$61,AG48+4,FALSE),0)</f>
        <v/>
      </c>
      <c r="CP48">
        <f>IFERROR(VLOOKUP(CP$6,Hoja1!$F$2:$XFD$61,AH48+4,FALSE),0)</f>
        <v/>
      </c>
      <c r="CQ48">
        <f>IFERROR(VLOOKUP(CQ$6,Hoja1!$F$2:$XFD$61,AI48+4,FALSE),0)</f>
        <v/>
      </c>
      <c r="CR48">
        <f>IFERROR(VLOOKUP(CR$6,Hoja1!$F$2:$XFD$61,AJ48+4,FALSE),0)</f>
        <v/>
      </c>
      <c r="CS48">
        <f>IFERROR(VLOOKUP(CS$6,Hoja1!$F$2:$XFD$61,AK48+4,FALSE),0)</f>
        <v/>
      </c>
      <c r="CT48">
        <f>IFERROR(VLOOKUP(CT$6,Hoja1!$F$2:$XFD$61,AL48+4,FALSE),0)</f>
        <v/>
      </c>
      <c r="CU48">
        <f>IFERROR(VLOOKUP(CU$6,Hoja1!$F$2:$XFD$61,AM48+4,FALSE),0)</f>
        <v/>
      </c>
      <c r="CV48">
        <f>IFERROR(VLOOKUP(CV$6,Hoja1!$F$2:$XFD$61,AN48+4,FALSE),0)</f>
        <v/>
      </c>
      <c r="CW48">
        <f>IFERROR(VLOOKUP(CW$6,Hoja1!$F$2:$XFD$61,AO48+4,FALSE),0)</f>
        <v/>
      </c>
      <c r="CX48">
        <f>IFERROR(VLOOKUP(CX$6,Hoja1!$F$2:$XFD$61,AP48+4,FALSE),0)</f>
        <v/>
      </c>
      <c r="CY48">
        <f>IFERROR(VLOOKUP(CY$6,Hoja1!$F$2:$XFD$61,AQ48+4,FALSE),0)</f>
        <v/>
      </c>
      <c r="CZ48">
        <f>IFERROR(VLOOKUP(CZ$6,Hoja1!$F$2:$XFD$61,AR48+4,FALSE),0)</f>
        <v/>
      </c>
      <c r="DA48">
        <f>IFERROR(VLOOKUP(DA$6,Hoja1!$F$2:$XFD$61,AS48+4,FALSE),0)</f>
        <v/>
      </c>
      <c r="DB48">
        <f>IFERROR(VLOOKUP(DB$6,Hoja1!$F$2:$XFD$61,AT48+4,FALSE),0)</f>
        <v/>
      </c>
      <c r="DC48">
        <f>IFERROR(VLOOKUP(DC$6,Hoja1!$F$2:$XFD$61,AU48+4,FALSE),0)</f>
        <v/>
      </c>
      <c r="DD48">
        <f>IFERROR(VLOOKUP(DD$6,Hoja1!$F$2:$XFD$61,AV48+4,FALSE),0)</f>
        <v/>
      </c>
      <c r="DE48">
        <f>IFERROR(VLOOKUP(DE$6,Hoja1!$F$2:$XFD$61,AW48+4,FALSE),0)</f>
        <v/>
      </c>
      <c r="DF48">
        <f>IFERROR(VLOOKUP(DF$6,Hoja1!$F$2:$XFD$61,AX48+4,FALSE),0)</f>
        <v/>
      </c>
      <c r="DG48">
        <f>IFERROR(VLOOKUP(DG$6,Hoja1!$F$2:$XFD$61,AY48+4,FALSE),0)</f>
        <v/>
      </c>
      <c r="DH48">
        <f>IFERROR(VLOOKUP(DH$6,Hoja1!$F$2:$XFD$61,AZ48+4,FALSE),0)</f>
        <v/>
      </c>
      <c r="DI48">
        <f>IFERROR(VLOOKUP(DI$6,Hoja1!$F$2:$XFD$61,BA48+4,FALSE),0)</f>
        <v/>
      </c>
      <c r="DJ48">
        <f>IFERROR(VLOOKUP(DJ$6,Hoja1!$F$2:$XFD$61,BB48+4,FALSE),0)</f>
        <v/>
      </c>
      <c r="DK48">
        <f>IFERROR(VLOOKUP(DK$6,Hoja1!$F$2:$XFD$61,BC48+4,FALSE),0)</f>
        <v/>
      </c>
      <c r="DL48">
        <f>IFERROR(VLOOKUP(DL$6,Hoja1!$F$2:$XFD$61,BD48+4,FALSE),0)</f>
        <v/>
      </c>
      <c r="DM48">
        <f>IFERROR(VLOOKUP(DM$6,Hoja1!$F$2:$XFD$61,BE48+4,FALSE),0)</f>
        <v/>
      </c>
      <c r="DN48">
        <f>IFERROR(VLOOKUP(DN$6,Hoja1!$F$2:$XFD$61,BF48+4,FALSE),0)</f>
        <v/>
      </c>
      <c r="DO48">
        <f>IFERROR(VLOOKUP(DO$6,Hoja1!$F$2:$XFD$61,BG48+4,FALSE),0)</f>
        <v/>
      </c>
      <c r="DP48">
        <f>IFERROR(VLOOKUP(DP$6,Hoja1!$F$2:$XFD$61,BH48+4,FALSE),0)</f>
        <v/>
      </c>
      <c r="DQ48">
        <f>IFERROR(VLOOKUP(DQ$6,Hoja1!$F$2:$XFD$61,BI48+4,FALSE),0)</f>
        <v/>
      </c>
      <c r="DR48">
        <f>IFERROR(VLOOKUP(DR$6,Hoja1!$F$2:$XFD$61,BJ48+4,FALSE),0)</f>
        <v/>
      </c>
      <c r="DS48">
        <f>IFERROR(VLOOKUP(DS$6,Hoja1!$F$2:$XFD$61,BK48+4,FALSE),0)</f>
        <v/>
      </c>
      <c r="DT48">
        <f>IFERROR(VLOOKUP(DT$6,Hoja1!$F$2:$XFD$61,BL48+4,FALSE),0)</f>
        <v/>
      </c>
      <c r="DU48" s="15">
        <f>IF(COUNT(E48:BL48)=$DV$7,IF(D48="","indique grupo",SUM(BM48:DT48)),"")</f>
        <v/>
      </c>
      <c r="DV48" s="16">
        <f>IF(D48&lt;&gt;"",IF(DU48="","",IF(DU48&gt;=$DU$7*Hoja1!$E$2,4+3/($DU$7*(1-Hoja1!$E$2))*(DU48-$DU$7*Hoja1!$E$2),1+3/($DU$7*Hoja1!$E$2)*DU48)),DU48)</f>
        <v/>
      </c>
      <c r="DW48" s="47" t="b">
        <v>0</v>
      </c>
    </row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2024-05-03T14:11:19Z</dcterms:modified>
  <cp:lastModifiedBy>Leandro Gutierrez A.</cp:lastModifiedBy>
  <cp:lastPrinted>2012-11-30T22:55:58Z</cp:lastPrinted>
</cp:coreProperties>
</file>