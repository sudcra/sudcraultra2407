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emf" ContentType="image/x-emf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840" tabRatio="600" firstSheet="0" activeTab="0" autoFilterDateGrouping="1"/>
  </bookViews>
  <sheets>
    <sheet xmlns:r="http://schemas.openxmlformats.org/officeDocument/2006/relationships" name="SECCION" sheetId="1" state="visible" r:id="rId1"/>
    <sheet xmlns:r="http://schemas.openxmlformats.org/officeDocument/2006/relationships" name="Hoja1" sheetId="2" state="hidden" r:id="rId2"/>
  </sheets>
  <definedNames>
    <definedName name="_xlnm.Print_Area" localSheetId="0">'SECCION'!$A$1:$DV$59</definedName>
  </definedNames>
  <calcPr calcId="191029" fullCalcOnLoad="1"/>
</workbook>
</file>

<file path=xl/styles.xml><?xml version="1.0" encoding="utf-8"?>
<styleSheet xmlns="http://schemas.openxmlformats.org/spreadsheetml/2006/main">
  <numFmts count="1">
    <numFmt numFmtId="164" formatCode="0.0"/>
  </numFmts>
  <fonts count="10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22"/>
      <scheme val="minor"/>
    </font>
    <font>
      <name val="Calibri"/>
      <family val="2"/>
      <b val="1"/>
      <sz val="11"/>
      <scheme val="minor"/>
    </font>
    <font>
      <name val="Calibri"/>
      <family val="2"/>
      <color theme="0"/>
      <sz val="11"/>
      <scheme val="minor"/>
    </font>
    <font>
      <name val="Calibri"/>
      <family val="2"/>
      <b val="1"/>
      <color theme="1"/>
      <sz val="12"/>
      <scheme val="minor"/>
    </font>
    <font>
      <name val="Calibri"/>
      <family val="2"/>
      <color theme="1"/>
      <sz val="16"/>
      <scheme val="minor"/>
    </font>
    <font>
      <name val="Calibri"/>
      <family val="2"/>
      <color theme="1"/>
      <sz val="18"/>
      <scheme val="minor"/>
    </font>
    <font>
      <name val="Calibri"/>
      <family val="2"/>
      <b val="1"/>
      <color theme="1"/>
      <sz val="26"/>
      <scheme val="minor"/>
    </font>
    <font>
      <name val="Calibri"/>
      <family val="2"/>
      <color rgb="FF000000"/>
      <sz val="11"/>
    </font>
  </fonts>
  <fills count="13">
    <fill>
      <patternFill/>
    </fill>
    <fill>
      <patternFill patternType="gray125"/>
    </fill>
    <fill>
      <patternFill patternType="solid">
        <fgColor theme="6" tint="0.7999816888943144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1" tint="0.349986266670735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ck">
        <color auto="1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57">
    <xf numFmtId="0" fontId="0" fillId="0" borderId="0" pivotButton="0" quotePrefix="0" xfId="0"/>
    <xf numFmtId="0" fontId="0" fillId="6" borderId="3" applyAlignment="1" applyProtection="1" pivotButton="0" quotePrefix="0" xfId="0">
      <alignment horizontal="center" vertical="center"/>
      <protection locked="0" hidden="0"/>
    </xf>
    <xf numFmtId="0" fontId="0" fillId="0" borderId="0" applyAlignment="1" pivotButton="0" quotePrefix="0" xfId="0">
      <alignment horizontal="center"/>
    </xf>
    <xf numFmtId="0" fontId="0" fillId="8" borderId="0" pivotButton="0" quotePrefix="0" xfId="0"/>
    <xf numFmtId="0" fontId="0" fillId="8" borderId="0" applyAlignment="1" pivotButton="0" quotePrefix="0" xfId="0">
      <alignment horizontal="center"/>
    </xf>
    <xf numFmtId="0" fontId="2" fillId="0" borderId="0" applyAlignment="1" pivotButton="0" quotePrefix="0" xfId="0">
      <alignment horizontal="center"/>
    </xf>
    <xf numFmtId="0" fontId="2" fillId="0" borderId="0" pivotButton="0" quotePrefix="0" xfId="0"/>
    <xf numFmtId="0" fontId="0" fillId="0" borderId="0" applyAlignment="1" pivotButton="0" quotePrefix="0" xfId="0">
      <alignment horizontal="right"/>
    </xf>
    <xf numFmtId="0" fontId="4" fillId="7" borderId="0" pivotButton="0" quotePrefix="0" xfId="0"/>
    <xf numFmtId="0" fontId="0" fillId="0" borderId="0" applyAlignment="1" pivotButton="0" quotePrefix="0" xfId="0">
      <alignment horizontal="center" vertical="center"/>
    </xf>
    <xf numFmtId="0" fontId="4" fillId="7" borderId="0" applyAlignment="1" pivotButton="0" quotePrefix="0" xfId="0">
      <alignment horizontal="center" vertical="center"/>
    </xf>
    <xf numFmtId="0" fontId="0" fillId="0" borderId="0" applyAlignment="1" pivotButton="0" quotePrefix="0" xfId="0">
      <alignment vertical="center"/>
    </xf>
    <xf numFmtId="0" fontId="0" fillId="0" borderId="6" pivotButton="0" quotePrefix="0" xfId="0"/>
    <xf numFmtId="0" fontId="0" fillId="0" borderId="2" applyAlignment="1" pivotButton="0" quotePrefix="0" xfId="0">
      <alignment horizontal="center"/>
    </xf>
    <xf numFmtId="0" fontId="0" fillId="0" borderId="2" pivotButton="0" quotePrefix="0" xfId="0"/>
    <xf numFmtId="0" fontId="0" fillId="2" borderId="4" applyAlignment="1" pivotButton="0" quotePrefix="0" xfId="0">
      <alignment horizontal="center" vertical="center"/>
    </xf>
    <xf numFmtId="164" fontId="0" fillId="3" borderId="4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0" fillId="0" borderId="1" pivotButton="0" quotePrefix="0" xfId="0"/>
    <xf numFmtId="0" fontId="0" fillId="9" borderId="12" applyAlignment="1" applyProtection="1" pivotButton="0" quotePrefix="0" xfId="0">
      <alignment horizontal="center" vertical="center"/>
      <protection locked="0" hidden="0"/>
    </xf>
    <xf numFmtId="0" fontId="7" fillId="5" borderId="9" applyAlignment="1" pivotButton="0" quotePrefix="0" xfId="0">
      <alignment horizontal="center" vertical="center"/>
    </xf>
    <xf numFmtId="0" fontId="7" fillId="4" borderId="9" applyAlignment="1" pivotButton="0" quotePrefix="0" xfId="0">
      <alignment horizontal="center" vertical="center"/>
    </xf>
    <xf numFmtId="9" fontId="0" fillId="0" borderId="0" pivotButton="0" quotePrefix="0" xfId="0"/>
    <xf numFmtId="0" fontId="5" fillId="9" borderId="7" applyAlignment="1" pivotButton="0" quotePrefix="0" xfId="0">
      <alignment horizontal="center" vertical="center"/>
    </xf>
    <xf numFmtId="0" fontId="6" fillId="9" borderId="12" applyAlignment="1" pivotButton="0" quotePrefix="0" xfId="0">
      <alignment horizontal="center" vertical="center"/>
    </xf>
    <xf numFmtId="0" fontId="0" fillId="9" borderId="16" applyAlignment="1" applyProtection="1" pivotButton="0" quotePrefix="0" xfId="0">
      <alignment horizontal="center" vertical="center"/>
      <protection locked="0" hidden="0"/>
    </xf>
    <xf numFmtId="0" fontId="0" fillId="9" borderId="17" applyAlignment="1" applyProtection="1" pivotButton="0" quotePrefix="0" xfId="0">
      <alignment horizontal="center" vertical="center"/>
      <protection locked="0" hidden="0"/>
    </xf>
    <xf numFmtId="0" fontId="0" fillId="9" borderId="18" applyAlignment="1" applyProtection="1" pivotButton="0" quotePrefix="0" xfId="0">
      <alignment horizontal="center" vertical="center"/>
      <protection locked="0" hidden="0"/>
    </xf>
    <xf numFmtId="0" fontId="0" fillId="9" borderId="19" applyAlignment="1" applyProtection="1" pivotButton="0" quotePrefix="0" xfId="0">
      <alignment horizontal="center" vertical="center"/>
      <protection locked="0" hidden="0"/>
    </xf>
    <xf numFmtId="0" fontId="0" fillId="9" borderId="20" applyAlignment="1" applyProtection="1" pivotButton="0" quotePrefix="0" xfId="0">
      <alignment horizontal="center" vertical="center"/>
      <protection locked="0" hidden="0"/>
    </xf>
    <xf numFmtId="0" fontId="0" fillId="0" borderId="12" applyAlignment="1" pivotButton="0" quotePrefix="0" xfId="0">
      <alignment horizontal="center"/>
    </xf>
    <xf numFmtId="0" fontId="0" fillId="0" borderId="12" pivotButton="0" quotePrefix="0" xfId="0"/>
    <xf numFmtId="0" fontId="0" fillId="6" borderId="22" applyAlignment="1" applyProtection="1" pivotButton="0" quotePrefix="0" xfId="0">
      <alignment horizontal="center" vertical="center"/>
      <protection locked="0" hidden="0"/>
    </xf>
    <xf numFmtId="164" fontId="0" fillId="3" borderId="23" applyAlignment="1" pivotButton="0" quotePrefix="0" xfId="0">
      <alignment horizontal="center" vertical="center"/>
    </xf>
    <xf numFmtId="0" fontId="0" fillId="0" borderId="21" applyAlignment="1" pivotButton="0" quotePrefix="0" xfId="0">
      <alignment horizontal="center"/>
    </xf>
    <xf numFmtId="0" fontId="0" fillId="0" borderId="21" pivotButton="0" quotePrefix="0" xfId="0"/>
    <xf numFmtId="0" fontId="8" fillId="0" borderId="0" pivotButton="0" quotePrefix="0" xfId="0"/>
    <xf numFmtId="0" fontId="0" fillId="0" borderId="0" applyAlignment="1" pivotButton="0" quotePrefix="0" xfId="0">
      <alignment horizontal="center" wrapText="1"/>
    </xf>
    <xf numFmtId="0" fontId="0" fillId="0" borderId="0" applyAlignment="1" pivotButton="0" quotePrefix="0" xfId="0">
      <alignment wrapText="1"/>
    </xf>
    <xf numFmtId="0" fontId="0" fillId="11" borderId="0" pivotButton="0" quotePrefix="0" xfId="0"/>
    <xf numFmtId="0" fontId="0" fillId="9" borderId="15" applyAlignment="1" pivotButton="0" quotePrefix="0" xfId="0">
      <alignment horizontal="center" textRotation="90" wrapText="1"/>
    </xf>
    <xf numFmtId="0" fontId="4" fillId="10" borderId="0" applyAlignment="1" pivotButton="0" quotePrefix="0" xfId="0">
      <alignment horizontal="center" vertical="center" wrapText="1"/>
    </xf>
    <xf numFmtId="0" fontId="4" fillId="10" borderId="0" applyAlignment="1" pivotButton="0" quotePrefix="0" xfId="0">
      <alignment horizontal="center" vertical="center"/>
    </xf>
    <xf numFmtId="0" fontId="1" fillId="0" borderId="14" applyAlignment="1" pivotButton="0" quotePrefix="0" xfId="0">
      <alignment horizontal="center"/>
    </xf>
    <xf numFmtId="0" fontId="1" fillId="0" borderId="13" applyAlignment="1" pivotButton="0" quotePrefix="0" xfId="0">
      <alignment horizontal="center"/>
    </xf>
    <xf numFmtId="0" fontId="1" fillId="0" borderId="15" applyAlignment="1" pivotButton="0" quotePrefix="0" xfId="0">
      <alignment horizontal="center"/>
    </xf>
    <xf numFmtId="0" fontId="7" fillId="12" borderId="24" applyAlignment="1" pivotButton="0" quotePrefix="0" xfId="0">
      <alignment horizontal="center" vertical="center" textRotation="90"/>
    </xf>
    <xf numFmtId="0" fontId="4" fillId="0" borderId="26" applyProtection="1" pivotButton="0" quotePrefix="0" xfId="0">
      <protection locked="0" hidden="0"/>
    </xf>
    <xf numFmtId="0" fontId="4" fillId="0" borderId="27" applyProtection="1" pivotButton="0" quotePrefix="0" xfId="0">
      <protection locked="0" hidden="0"/>
    </xf>
    <xf numFmtId="0" fontId="4" fillId="0" borderId="25" applyProtection="1" pivotButton="0" quotePrefix="0" xfId="0">
      <protection locked="0" hidden="0"/>
    </xf>
    <xf numFmtId="0" fontId="3" fillId="0" borderId="10" applyAlignment="1" pivotButton="0" quotePrefix="0" xfId="0">
      <alignment horizontal="center" vertical="center"/>
    </xf>
    <xf numFmtId="0" fontId="3" fillId="0" borderId="11" applyAlignment="1" pivotButton="0" quotePrefix="0" xfId="0">
      <alignment horizontal="center" vertical="center"/>
    </xf>
    <xf numFmtId="0" fontId="3" fillId="0" borderId="8" applyAlignment="1" pivotButton="0" quotePrefix="0" xfId="0">
      <alignment horizontal="center" vertical="center"/>
    </xf>
    <xf numFmtId="0" fontId="3" fillId="0" borderId="5" applyAlignment="1" pivotButton="0" quotePrefix="0" xfId="0">
      <alignment horizontal="center" vertical="center"/>
    </xf>
    <xf numFmtId="0" fontId="0" fillId="0" borderId="5" pivotButton="0" quotePrefix="0" xfId="0"/>
    <xf numFmtId="0" fontId="3" fillId="0" borderId="19" applyAlignment="1" pivotButton="0" quotePrefix="0" xfId="0">
      <alignment horizontal="center" vertical="center"/>
    </xf>
    <xf numFmtId="0" fontId="0" fillId="0" borderId="11" pivotButton="0" quotePrefix="0" xfId="0"/>
  </cellXfs>
  <cellStyles count="1">
    <cellStyle name="Normal" xfId="0" builtinId="0"/>
  </cellStyles>
  <dxfs count="38"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74" formatCode="&quot;MB&quot;"/>
    </dxf>
    <dxf>
      <numFmt numFmtId="173" formatCode="&quot;B&quot;"/>
    </dxf>
    <dxf>
      <numFmt numFmtId="172" formatCode="&quot;M&quot;"/>
    </dxf>
    <dxf>
      <numFmt numFmtId="171" formatCode="&quot;NL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68" formatCode="&quot;DL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9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styles" Target="styles.xml" Id="rId3"/><Relationship Type="http://schemas.openxmlformats.org/officeDocument/2006/relationships/theme" Target="theme/theme1.xml" Id="rId4"/><Relationship Type="http://schemas.microsoft.com/office/2006/relationships/vbaProject" Target="vbaProject.bin" Id="rId5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DW10" lockText="1" noThreeD="1"/>
</file>

<file path=xl/ctrlProps/ctrlProp3.xml><?xml version="1.0" encoding="utf-8"?>
<formControlPr xmlns="http://schemas.microsoft.com/office/spreadsheetml/2009/9/main" objectType="CheckBox" fmlaLink="DW11" lockText="1" noThreeD="1"/>
</file>

<file path=xl/ctrlProps/ctrlProp4.xml><?xml version="1.0" encoding="utf-8"?>
<formControlPr xmlns="http://schemas.microsoft.com/office/spreadsheetml/2009/9/main" objectType="CheckBox" fmlaLink="DW12" lockText="1" noThreeD="1"/>
</file>

<file path=xl/ctrlProps/ctrlProp5.xml><?xml version="1.0" encoding="utf-8"?>
<formControlPr xmlns="http://schemas.microsoft.com/office/spreadsheetml/2009/9/main" objectType="CheckBox" fmlaLink="DW13" lockText="1" noThreeD="1"/>
</file>

<file path=xl/ctrlProps/ctrlProp6.xml><?xml version="1.0" encoding="utf-8"?>
<formControlPr xmlns="http://schemas.microsoft.com/office/spreadsheetml/2009/9/main" objectType="CheckBox" fmlaLink="DW14" lockText="1" noThreeD="1"/>
</file>

<file path=xl/ctrlProps/ctrlProp7.xml><?xml version="1.0" encoding="utf-8"?>
<formControlPr xmlns="http://schemas.microsoft.com/office/spreadsheetml/2009/9/main" objectType="CheckBox" fmlaLink="DW15" lockText="1" noThreeD="1"/>
</file>

<file path=xl/ctrlProps/ctrlProp8.xml><?xml version="1.0" encoding="utf-8"?>
<formControlPr xmlns="http://schemas.microsoft.com/office/spreadsheetml/2009/9/main" objectType="CheckBox" fmlaLink="DW16" lockText="1" noThreeD="1"/>
</file>

<file path=xl/ctrlProps/ctrlProp9.xml><?xml version="1.0" encoding="utf-8"?>
<formControlPr xmlns="http://schemas.microsoft.com/office/spreadsheetml/2009/9/main" objectType="CheckBox" fmlaLink="DW17" lockText="1" noThreeD="1"/>
</file>

<file path=xl/ctrlProps/ctrlProp10.xml><?xml version="1.0" encoding="utf-8"?>
<formControlPr xmlns="http://schemas.microsoft.com/office/spreadsheetml/2009/9/main" objectType="CheckBox" fmlaLink="DW18" lockText="1" noThreeD="1"/>
</file>

<file path=xl/ctrlProps/ctrlProp11.xml><?xml version="1.0" encoding="utf-8"?>
<formControlPr xmlns="http://schemas.microsoft.com/office/spreadsheetml/2009/9/main" objectType="CheckBox" fmlaLink="DW19" lockText="1" noThreeD="1"/>
</file>

<file path=xl/ctrlProps/ctrlProp12.xml><?xml version="1.0" encoding="utf-8"?>
<formControlPr xmlns="http://schemas.microsoft.com/office/spreadsheetml/2009/9/main" objectType="CheckBox" fmlaLink="DW20" lockText="1" noThreeD="1"/>
</file>

<file path=xl/ctrlProps/ctrlProp13.xml><?xml version="1.0" encoding="utf-8"?>
<formControlPr xmlns="http://schemas.microsoft.com/office/spreadsheetml/2009/9/main" objectType="CheckBox" fmlaLink="DW21" lockText="1" noThreeD="1"/>
</file>

<file path=xl/ctrlProps/ctrlProp14.xml><?xml version="1.0" encoding="utf-8"?>
<formControlPr xmlns="http://schemas.microsoft.com/office/spreadsheetml/2009/9/main" objectType="CheckBox" fmlaLink="DW22" lockText="1" noThreeD="1"/>
</file>

<file path=xl/ctrlProps/ctrlProp15.xml><?xml version="1.0" encoding="utf-8"?>
<formControlPr xmlns="http://schemas.microsoft.com/office/spreadsheetml/2009/9/main" objectType="CheckBox" fmlaLink="DW23" lockText="1" noThreeD="1"/>
</file>

<file path=xl/ctrlProps/ctrlProp16.xml><?xml version="1.0" encoding="utf-8"?>
<formControlPr xmlns="http://schemas.microsoft.com/office/spreadsheetml/2009/9/main" objectType="CheckBox" fmlaLink="DW24" lockText="1" noThreeD="1"/>
</file>

<file path=xl/ctrlProps/ctrlProp17.xml><?xml version="1.0" encoding="utf-8"?>
<formControlPr xmlns="http://schemas.microsoft.com/office/spreadsheetml/2009/9/main" objectType="CheckBox" fmlaLink="DW25" lockText="1" noThreeD="1"/>
</file>

<file path=xl/ctrlProps/ctrlProp18.xml><?xml version="1.0" encoding="utf-8"?>
<formControlPr xmlns="http://schemas.microsoft.com/office/spreadsheetml/2009/9/main" objectType="CheckBox" fmlaLink="DW26" lockText="1" noThreeD="1"/>
</file>

<file path=xl/ctrlProps/ctrlProp19.xml><?xml version="1.0" encoding="utf-8"?>
<formControlPr xmlns="http://schemas.microsoft.com/office/spreadsheetml/2009/9/main" objectType="CheckBox" fmlaLink="DW27" lockText="1" noThreeD="1"/>
</file>

<file path=xl/ctrlProps/ctrlProp20.xml><?xml version="1.0" encoding="utf-8"?>
<formControlPr xmlns="http://schemas.microsoft.com/office/spreadsheetml/2009/9/main" objectType="CheckBox" fmlaLink="DW28" lockText="1" noThreeD="1"/>
</file>

<file path=xl/ctrlProps/ctrlProp21.xml><?xml version="1.0" encoding="utf-8"?>
<formControlPr xmlns="http://schemas.microsoft.com/office/spreadsheetml/2009/9/main" objectType="CheckBox" fmlaLink="DW29" lockText="1" noThreeD="1"/>
</file>

<file path=xl/ctrlProps/ctrlProp22.xml><?xml version="1.0" encoding="utf-8"?>
<formControlPr xmlns="http://schemas.microsoft.com/office/spreadsheetml/2009/9/main" objectType="CheckBox" fmlaLink="DW30" lockText="1" noThreeD="1"/>
</file>

<file path=xl/ctrlProps/ctrlProp23.xml><?xml version="1.0" encoding="utf-8"?>
<formControlPr xmlns="http://schemas.microsoft.com/office/spreadsheetml/2009/9/main" objectType="CheckBox" fmlaLink="DW31" lockText="1" noThreeD="1"/>
</file>

<file path=xl/ctrlProps/ctrlProp24.xml><?xml version="1.0" encoding="utf-8"?>
<formControlPr xmlns="http://schemas.microsoft.com/office/spreadsheetml/2009/9/main" objectType="CheckBox" fmlaLink="DW32" lockText="1" noThreeD="1"/>
</file>

<file path=xl/ctrlProps/ctrlProp25.xml><?xml version="1.0" encoding="utf-8"?>
<formControlPr xmlns="http://schemas.microsoft.com/office/spreadsheetml/2009/9/main" objectType="CheckBox" fmlaLink="DW33" lockText="1" noThreeD="1"/>
</file>

<file path=xl/ctrlProps/ctrlProp26.xml><?xml version="1.0" encoding="utf-8"?>
<formControlPr xmlns="http://schemas.microsoft.com/office/spreadsheetml/2009/9/main" objectType="CheckBox" fmlaLink="DW34" lockText="1" noThreeD="1"/>
</file>

<file path=xl/ctrlProps/ctrlProp27.xml><?xml version="1.0" encoding="utf-8"?>
<formControlPr xmlns="http://schemas.microsoft.com/office/spreadsheetml/2009/9/main" objectType="CheckBox" fmlaLink="DW35" lockText="1" noThreeD="1"/>
</file>

<file path=xl/ctrlProps/ctrlProp28.xml><?xml version="1.0" encoding="utf-8"?>
<formControlPr xmlns="http://schemas.microsoft.com/office/spreadsheetml/2009/9/main" objectType="CheckBox" fmlaLink="DW36" lockText="1" noThreeD="1"/>
</file>

<file path=xl/ctrlProps/ctrlProp29.xml><?xml version="1.0" encoding="utf-8"?>
<formControlPr xmlns="http://schemas.microsoft.com/office/spreadsheetml/2009/9/main" objectType="CheckBox" fmlaLink="DW37" lockText="1" noThreeD="1"/>
</file>

<file path=xl/ctrlProps/ctrlProp30.xml><?xml version="1.0" encoding="utf-8"?>
<formControlPr xmlns="http://schemas.microsoft.com/office/spreadsheetml/2009/9/main" objectType="CheckBox" fmlaLink="DW38" lockText="1" noThreeD="1"/>
</file>

<file path=xl/ctrlProps/ctrlProp31.xml><?xml version="1.0" encoding="utf-8"?>
<formControlPr xmlns="http://schemas.microsoft.com/office/spreadsheetml/2009/9/main" objectType="CheckBox" fmlaLink="DW39" lockText="1" noThreeD="1"/>
</file>

<file path=xl/ctrlProps/ctrlProp32.xml><?xml version="1.0" encoding="utf-8"?>
<formControlPr xmlns="http://schemas.microsoft.com/office/spreadsheetml/2009/9/main" objectType="CheckBox" fmlaLink="DW40" lockText="1" noThreeD="1"/>
</file>

<file path=xl/ctrlProps/ctrlProp33.xml><?xml version="1.0" encoding="utf-8"?>
<formControlPr xmlns="http://schemas.microsoft.com/office/spreadsheetml/2009/9/main" objectType="CheckBox" fmlaLink="DW41" lockText="1" noThreeD="1"/>
</file>

<file path=xl/ctrlProps/ctrlProp34.xml><?xml version="1.0" encoding="utf-8"?>
<formControlPr xmlns="http://schemas.microsoft.com/office/spreadsheetml/2009/9/main" objectType="CheckBox" fmlaLink="DW42" lockText="1" noThreeD="1"/>
</file>

<file path=xl/ctrlProps/ctrlProp35.xml><?xml version="1.0" encoding="utf-8"?>
<formControlPr xmlns="http://schemas.microsoft.com/office/spreadsheetml/2009/9/main" objectType="CheckBox" fmlaLink="DW43" lockText="1" noThreeD="1"/>
</file>

<file path=xl/ctrlProps/ctrlProp36.xml><?xml version="1.0" encoding="utf-8"?>
<formControlPr xmlns="http://schemas.microsoft.com/office/spreadsheetml/2009/9/main" objectType="CheckBox" fmlaLink="DW44" lockText="1" noThreeD="1"/>
</file>

<file path=xl/ctrlProps/ctrlProp37.xml><?xml version="1.0" encoding="utf-8"?>
<formControlPr xmlns="http://schemas.microsoft.com/office/spreadsheetml/2009/9/main" objectType="CheckBox" fmlaLink="DW45" lockText="1" noThreeD="1"/>
</file>

<file path=xl/ctrlProps/ctrlProp38.xml><?xml version="1.0" encoding="utf-8"?>
<formControlPr xmlns="http://schemas.microsoft.com/office/spreadsheetml/2009/9/main" objectType="CheckBox" fmlaLink="DW46" lockText="1" noThreeD="1"/>
</file>

<file path=xl/ctrlProps/ctrlProp39.xml><?xml version="1.0" encoding="utf-8"?>
<formControlPr xmlns="http://schemas.microsoft.com/office/spreadsheetml/2009/9/main" objectType="CheckBox" fmlaLink="DW47" lockText="1" noThreeD="1"/>
</file>

<file path=xl/ctrlProps/ctrlProp40.xml><?xml version="1.0" encoding="utf-8"?>
<formControlPr xmlns="http://schemas.microsoft.com/office/spreadsheetml/2009/9/main" objectType="CheckBox" fmlaLink="DW48" lockText="1" noThreeD="1"/>
</file>

<file path=xl/ctrlProps/ctrlProp41.xml><?xml version="1.0" encoding="utf-8"?>
<formControlPr xmlns="http://schemas.microsoft.com/office/spreadsheetml/2009/9/main" objectType="CheckBox" fmlaLink="DW49" lockText="1" noThreeD="1"/>
</file>

<file path=xl/ctrlProps/ctrlProp42.xml><?xml version="1.0" encoding="utf-8"?>
<formControlPr xmlns="http://schemas.microsoft.com/office/spreadsheetml/2009/9/main" objectType="CheckBox" fmlaLink="DW50" lockText="1" noThreeD="1"/>
</file>

<file path=xl/ctrlProps/ctrlProp43.xml><?xml version="1.0" encoding="utf-8"?>
<formControlPr xmlns="http://schemas.microsoft.com/office/spreadsheetml/2009/9/main" objectType="CheckBox" fmlaLink="DW51" lockText="1" noThreeD="1"/>
</file>

<file path=xl/ctrlProps/ctrlProp44.xml><?xml version="1.0" encoding="utf-8"?>
<formControlPr xmlns="http://schemas.microsoft.com/office/spreadsheetml/2009/9/main" objectType="CheckBox" fmlaLink="DW52" lockText="1" noThreeD="1"/>
</file>

<file path=xl/ctrlProps/ctrlProp45.xml><?xml version="1.0" encoding="utf-8"?>
<formControlPr xmlns="http://schemas.microsoft.com/office/spreadsheetml/2009/9/main" objectType="CheckBox" fmlaLink="DW53" lockText="1" noThreeD="1"/>
</file>

<file path=xl/ctrlProps/ctrlProp46.xml><?xml version="1.0" encoding="utf-8"?>
<formControlPr xmlns="http://schemas.microsoft.com/office/spreadsheetml/2009/9/main" objectType="CheckBox" fmlaLink="DW54" lockText="1" noThreeD="1"/>
</file>

<file path=xl/ctrlProps/ctrlProp47.xml><?xml version="1.0" encoding="utf-8"?>
<formControlPr xmlns="http://schemas.microsoft.com/office/spreadsheetml/2009/9/main" objectType="CheckBox" fmlaLink="DW55" lockText="1" noThreeD="1"/>
</file>

<file path=xl/ctrlProps/ctrlProp48.xml><?xml version="1.0" encoding="utf-8"?>
<formControlPr xmlns="http://schemas.microsoft.com/office/spreadsheetml/2009/9/main" objectType="CheckBox" fmlaLink="DW56" lockText="1" noThreeD="1"/>
</file>

<file path=xl/ctrlProps/ctrlProp49.xml><?xml version="1.0" encoding="utf-8"?>
<formControlPr xmlns="http://schemas.microsoft.com/office/spreadsheetml/2009/9/main" objectType="CheckBox" fmlaLink="DW57" lockText="1" noThreeD="1"/>
</file>

<file path=xl/ctrlProps/ctrlProp50.xml><?xml version="1.0" encoding="utf-8"?>
<formControlPr xmlns="http://schemas.microsoft.com/office/spreadsheetml/2009/9/main" objectType="CheckBox" fmlaLink="DW58" lockText="1" noThreeD="1"/>
</file>

<file path=xl/ctrlProps/ctrlProp51.xml><?xml version="1.0" encoding="utf-8"?>
<formControlPr xmlns="http://schemas.microsoft.com/office/spreadsheetml/2009/9/main" objectType="CheckBox" fmlaLink="DW59" lockText="1" noThreeD="1"/>
</file>

<file path=xl/ctrlProps/ctrlProp52.xml><?xml version="1.0" encoding="utf-8"?>
<formControlPr xmlns="http://schemas.microsoft.com/office/spreadsheetml/2009/9/main" objectType="CheckBox" fmlaLink="DW60" lockText="1" noThreeD="1"/>
</file>

<file path=xl/ctrlProps/ctrlProp53.xml><?xml version="1.0" encoding="utf-8"?>
<formControlPr xmlns="http://schemas.microsoft.com/office/spreadsheetml/2009/9/main" objectType="CheckBox" fmlaLink="DW61" lockText="1" noThreeD="1"/>
</file>

<file path=xl/ctrlProps/ctrlProp54.xml><?xml version="1.0" encoding="utf-8"?>
<formControlPr xmlns="http://schemas.microsoft.com/office/spreadsheetml/2009/9/main" objectType="CheckBox" fmlaLink="DW62" lockText="1" noThreeD="1"/>
</file>

<file path=xl/ctrlProps/ctrlProp55.xml><?xml version="1.0" encoding="utf-8"?>
<formControlPr xmlns="http://schemas.microsoft.com/office/spreadsheetml/2009/9/main" objectType="CheckBox" fmlaLink="DW63" lockText="1" noThreeD="1"/>
</file>

<file path=xl/ctrlProps/ctrlProp56.xml><?xml version="1.0" encoding="utf-8"?>
<formControlPr xmlns="http://schemas.microsoft.com/office/spreadsheetml/2009/9/main" objectType="CheckBox" fmlaLink="DW64" lockText="1" noThreeD="1"/>
</file>

<file path=xl/ctrlProps/ctrlProp57.xml><?xml version="1.0" encoding="utf-8"?>
<formControlPr xmlns="http://schemas.microsoft.com/office/spreadsheetml/2009/9/main" objectType="CheckBox" fmlaLink="DW65" lockText="1" noThreeD="1"/>
</file>

<file path=xl/ctrlProps/ctrlProp58.xml><?xml version="1.0" encoding="utf-8"?>
<formControlPr xmlns="http://schemas.microsoft.com/office/spreadsheetml/2009/9/main" objectType="CheckBox" fmlaLink="DW66" lockText="1" noThreeD="1"/>
</file>

<file path=xl/ctrlProps/ctrlProp59.xml><?xml version="1.0" encoding="utf-8"?>
<formControlPr xmlns="http://schemas.microsoft.com/office/spreadsheetml/2009/9/main" objectType="CheckBox" fmlaLink="DW67" lockText="1" noThreeD="1"/>
</file>

<file path=xl/ctrlProps/ctrlProp60.xml><?xml version="1.0" encoding="utf-8"?>
<formControlPr xmlns="http://schemas.microsoft.com/office/spreadsheetml/2009/9/main" objectType="CheckBox" fmlaLink="DW68" lockText="1" noThreeD="1"/>
</file>

<file path=xl/ctrlProps/ctrlProp61.xml><?xml version="1.0" encoding="utf-8"?>
<formControlPr xmlns="http://schemas.microsoft.com/office/spreadsheetml/2009/9/main" objectType="CheckBox" fmlaLink="DW69" lockText="1" noThreeD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sheet1.xml><?xml version="1.0" encoding="utf-8"?>
<worksheet xmlns="http://schemas.openxmlformats.org/spreadsheetml/2006/main">
  <sheetPr codeName="Hoja1">
    <outlinePr summaryBelow="1" summaryRight="1"/>
    <pageSetUpPr fitToPage="1"/>
  </sheetPr>
  <dimension ref="A1:DY29"/>
  <sheetViews>
    <sheetView showGridLines="0" tabSelected="1" zoomScale="96" zoomScaleNormal="96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E10" sqref="E10"/>
    </sheetView>
  </sheetViews>
  <sheetFormatPr baseColWidth="10" defaultRowHeight="8.25" customHeight="1"/>
  <cols>
    <col width="5.42578125" customWidth="1" style="2" min="1" max="1"/>
    <col width="55.28515625" customWidth="1" min="2" max="2"/>
    <col width="15.85546875" customWidth="1" min="3" max="3"/>
    <col width="7.85546875" customWidth="1" style="2" min="4" max="4"/>
    <col width="7" customWidth="1" min="5" max="8"/>
    <col hidden="1" width="7" customWidth="1" min="9" max="64"/>
    <col hidden="1" width="5.42578125" customWidth="1" min="65" max="124"/>
    <col width="14.7109375" customWidth="1" min="125" max="126"/>
    <col width="6.7109375" customWidth="1" min="127" max="127"/>
  </cols>
  <sheetData>
    <row r="1" hidden="1" ht="13.5" customHeight="1">
      <c r="B1" s="3" t="inlineStr">
        <is>
          <t>sudcra2024001</t>
        </is>
      </c>
      <c r="C1" s="3" t="n">
        <v>24118322</v>
      </c>
      <c r="D1" s="4" t="n"/>
      <c r="DU1" s="3" t="inlineStr">
        <is>
          <t>NIVELACIÓN MATEMÁTICA</t>
        </is>
      </c>
      <c r="DV1" s="3" t="inlineStr">
        <is>
          <t>Taller n°2</t>
        </is>
      </c>
      <c r="DW1" t="inlineStr">
        <is>
          <t>Taller n°2</t>
        </is>
      </c>
      <c r="DX1" s="39" t="n">
        <v>3</v>
      </c>
      <c r="DY1" s="39" t="n">
        <v>6</v>
      </c>
    </row>
    <row r="2" ht="41.25" customHeight="1">
      <c r="C2" s="36" t="n"/>
      <c r="D2" s="36" t="n"/>
      <c r="E2" s="36">
        <f>UPPER(DV1 &amp;" DE " &amp; DU1 &amp; " - " &amp; IF(MONTH(TODAY())&lt;8,"Primer Semestre ", "Segundo Semestre ") &amp; YEAR(TODAY()))</f>
        <v/>
      </c>
      <c r="F2" s="36" t="n"/>
      <c r="G2" s="36" t="n"/>
      <c r="H2" s="36" t="n"/>
      <c r="I2" s="36" t="n"/>
      <c r="J2" s="36" t="n"/>
      <c r="K2" s="36" t="n"/>
      <c r="L2" s="36" t="n"/>
      <c r="M2" s="36" t="n"/>
      <c r="N2" s="36" t="n"/>
      <c r="O2" s="36" t="n"/>
      <c r="P2" s="36" t="n"/>
      <c r="Q2" s="36" t="n"/>
      <c r="R2" s="36" t="n"/>
      <c r="S2" s="36" t="n"/>
      <c r="T2" s="36" t="n"/>
      <c r="U2" s="36" t="n"/>
      <c r="V2" s="36" t="n"/>
      <c r="W2" s="36" t="n"/>
      <c r="X2" s="36" t="n"/>
      <c r="Y2" s="36" t="n"/>
      <c r="Z2" s="36" t="n"/>
      <c r="AA2" s="36" t="n"/>
      <c r="AB2" s="36" t="n"/>
      <c r="AC2" s="36" t="n"/>
      <c r="AD2" s="36" t="n"/>
      <c r="AE2" s="36" t="n"/>
      <c r="AF2" s="36" t="n"/>
      <c r="AG2" s="36" t="n"/>
      <c r="AH2" s="36" t="n"/>
      <c r="AI2" s="36" t="n"/>
      <c r="AJ2" s="36" t="n"/>
      <c r="AK2" s="36" t="n"/>
      <c r="AL2" s="36" t="n"/>
      <c r="AM2" s="36" t="n"/>
      <c r="AN2" s="36" t="n"/>
      <c r="AO2" s="36" t="n"/>
      <c r="AP2" s="36" t="n"/>
      <c r="AQ2" s="36" t="n"/>
      <c r="AR2" s="36" t="n"/>
      <c r="AS2" s="36" t="n"/>
      <c r="AT2" s="36" t="n"/>
      <c r="AU2" s="36" t="n"/>
      <c r="AV2" s="36" t="n"/>
      <c r="AW2" s="36" t="n"/>
      <c r="AX2" s="36" t="n"/>
      <c r="AY2" s="36" t="n"/>
      <c r="AZ2" s="36" t="n"/>
      <c r="BA2" s="36" t="n"/>
      <c r="BB2" s="36" t="n"/>
      <c r="BC2" s="36" t="n"/>
      <c r="BD2" s="36" t="n"/>
      <c r="BE2" s="36" t="n"/>
      <c r="BF2" s="36" t="n"/>
      <c r="BG2" s="36" t="n"/>
      <c r="BH2" s="36" t="n"/>
      <c r="BI2" s="36" t="n"/>
      <c r="BJ2" s="36" t="n"/>
      <c r="BK2" s="36" t="n"/>
      <c r="BL2" s="36" t="n"/>
      <c r="BM2" s="5" t="n"/>
      <c r="BN2" s="5" t="n"/>
      <c r="BO2" s="5" t="n"/>
      <c r="BP2" s="5" t="n"/>
      <c r="BQ2" s="5" t="n"/>
      <c r="BR2" s="5" t="n"/>
      <c r="BS2" s="5" t="n"/>
      <c r="BT2" s="5" t="n"/>
      <c r="BU2" s="5" t="n"/>
      <c r="BV2" s="5" t="n"/>
      <c r="BW2" s="5" t="n"/>
      <c r="BX2" s="5" t="n"/>
      <c r="BY2" s="5" t="n"/>
      <c r="BZ2" s="5" t="n"/>
      <c r="CA2" s="5" t="n"/>
      <c r="CB2" s="5" t="n"/>
      <c r="CC2" s="5" t="n"/>
      <c r="CD2" s="5" t="n"/>
      <c r="CE2" s="5" t="n"/>
      <c r="CF2" s="5" t="n"/>
      <c r="CG2" s="5" t="n"/>
      <c r="CH2" s="5" t="n"/>
      <c r="CI2" s="5" t="n"/>
      <c r="CJ2" s="5" t="n"/>
      <c r="CK2" s="5" t="n"/>
      <c r="CL2" s="5" t="n"/>
      <c r="CM2" s="5" t="n"/>
      <c r="CN2" s="5" t="n"/>
      <c r="CO2" s="5" t="n"/>
      <c r="CP2" s="5" t="n"/>
      <c r="CQ2" s="5" t="n"/>
      <c r="CR2" s="5" t="n"/>
      <c r="CS2" s="5" t="n"/>
      <c r="CT2" s="5" t="n"/>
      <c r="CU2" s="5" t="n"/>
      <c r="CV2" s="5" t="n"/>
      <c r="CW2" s="5" t="n"/>
      <c r="CX2" s="5" t="n"/>
      <c r="CY2" s="5" t="n"/>
      <c r="CZ2" s="5" t="n"/>
      <c r="DA2" s="5" t="n"/>
      <c r="DB2" s="5" t="n"/>
      <c r="DC2" s="5" t="n"/>
      <c r="DD2" s="5" t="n"/>
      <c r="DE2" s="5" t="n"/>
      <c r="DF2" s="5" t="n"/>
      <c r="DG2" s="5" t="n"/>
      <c r="DH2" s="5" t="n"/>
      <c r="DI2" s="5" t="n"/>
      <c r="DJ2" s="5" t="n"/>
      <c r="DK2" s="5" t="n"/>
      <c r="DL2" s="5" t="n"/>
      <c r="DM2" s="5" t="n"/>
      <c r="DN2" s="5" t="n"/>
      <c r="DO2" s="5" t="n"/>
      <c r="DP2" s="5" t="n"/>
      <c r="DQ2" s="5" t="n"/>
      <c r="DR2" s="5" t="n"/>
      <c r="DS2" s="5" t="n"/>
      <c r="DT2" s="5" t="n"/>
      <c r="DU2" s="6" t="n"/>
      <c r="DV2" s="6" t="n"/>
    </row>
    <row r="3" hidden="1" ht="63.75" customHeight="1"/>
    <row r="4" ht="5.25" customHeight="1">
      <c r="B4" s="7" t="n"/>
    </row>
    <row r="5" ht="5.25" customHeight="1" thickBot="1">
      <c r="B5" s="7" t="n"/>
      <c r="DU5" s="8" t="n"/>
      <c r="DV5" s="8" t="n"/>
    </row>
    <row r="6" hidden="1" ht="13.5" customHeight="1" thickBot="1">
      <c r="E6" t="n">
        <v>1</v>
      </c>
      <c r="F6" t="n">
        <v>2</v>
      </c>
      <c r="G6" t="n">
        <v>3</v>
      </c>
      <c r="H6" t="n">
        <v>4</v>
      </c>
      <c r="I6" t="n">
        <v>5</v>
      </c>
      <c r="J6" t="n">
        <v>6</v>
      </c>
      <c r="K6" t="n">
        <v>7</v>
      </c>
      <c r="L6" t="n">
        <v>8</v>
      </c>
      <c r="M6" t="n">
        <v>9</v>
      </c>
      <c r="N6" t="n">
        <v>10</v>
      </c>
      <c r="O6" t="n">
        <v>11</v>
      </c>
      <c r="P6" t="n">
        <v>12</v>
      </c>
      <c r="Q6" t="n">
        <v>13</v>
      </c>
      <c r="R6" t="n">
        <v>14</v>
      </c>
      <c r="S6" t="n">
        <v>15</v>
      </c>
      <c r="T6" t="n">
        <v>16</v>
      </c>
      <c r="U6" t="n">
        <v>17</v>
      </c>
      <c r="V6" t="n">
        <v>18</v>
      </c>
      <c r="W6" t="n">
        <v>19</v>
      </c>
      <c r="X6" t="n">
        <v>20</v>
      </c>
      <c r="Y6" t="n">
        <v>21</v>
      </c>
      <c r="Z6" t="n">
        <v>22</v>
      </c>
      <c r="AA6" t="n">
        <v>23</v>
      </c>
      <c r="AB6" t="n">
        <v>24</v>
      </c>
      <c r="AC6" t="n">
        <v>25</v>
      </c>
      <c r="AD6" t="n">
        <v>26</v>
      </c>
      <c r="AE6" t="n">
        <v>27</v>
      </c>
      <c r="AF6" t="n">
        <v>28</v>
      </c>
      <c r="AG6" t="n">
        <v>29</v>
      </c>
      <c r="AH6" t="n">
        <v>30</v>
      </c>
      <c r="AI6" t="n">
        <v>31</v>
      </c>
      <c r="AJ6" t="n">
        <v>32</v>
      </c>
      <c r="AK6" t="n">
        <v>33</v>
      </c>
      <c r="AL6" t="n">
        <v>34</v>
      </c>
      <c r="AM6" t="n">
        <v>35</v>
      </c>
      <c r="AN6" t="n">
        <v>36</v>
      </c>
      <c r="AO6" t="n">
        <v>37</v>
      </c>
      <c r="AP6" t="n">
        <v>38</v>
      </c>
      <c r="AQ6" t="n">
        <v>39</v>
      </c>
      <c r="AR6" t="n">
        <v>40</v>
      </c>
      <c r="AS6" t="n">
        <v>41</v>
      </c>
      <c r="AT6" t="n">
        <v>42</v>
      </c>
      <c r="AU6" t="n">
        <v>43</v>
      </c>
      <c r="AV6" t="n">
        <v>44</v>
      </c>
      <c r="AW6" t="n">
        <v>45</v>
      </c>
      <c r="AX6" t="n">
        <v>46</v>
      </c>
      <c r="AY6" t="n">
        <v>47</v>
      </c>
      <c r="AZ6" t="n">
        <v>48</v>
      </c>
      <c r="BA6" t="n">
        <v>49</v>
      </c>
      <c r="BB6" t="n">
        <v>50</v>
      </c>
      <c r="BC6" t="n">
        <v>51</v>
      </c>
      <c r="BD6" t="n">
        <v>52</v>
      </c>
      <c r="BE6" t="n">
        <v>53</v>
      </c>
      <c r="BF6" t="n">
        <v>54</v>
      </c>
      <c r="BG6" t="n">
        <v>55</v>
      </c>
      <c r="BH6" t="n">
        <v>56</v>
      </c>
      <c r="BI6" t="n">
        <v>57</v>
      </c>
      <c r="BJ6" t="n">
        <v>58</v>
      </c>
      <c r="BK6" t="n">
        <v>59</v>
      </c>
      <c r="BL6" t="n">
        <v>60</v>
      </c>
      <c r="BM6" t="n">
        <v>1</v>
      </c>
      <c r="BN6" t="n">
        <v>2</v>
      </c>
      <c r="BO6" t="n">
        <v>3</v>
      </c>
      <c r="BP6" t="n">
        <v>4</v>
      </c>
      <c r="BQ6" t="n">
        <v>5</v>
      </c>
      <c r="BR6" t="n">
        <v>6</v>
      </c>
      <c r="BS6" t="n">
        <v>7</v>
      </c>
      <c r="BT6" t="n">
        <v>8</v>
      </c>
      <c r="BU6" t="n">
        <v>9</v>
      </c>
      <c r="BV6" t="n">
        <v>10</v>
      </c>
      <c r="BW6" t="n">
        <v>11</v>
      </c>
      <c r="BX6" t="n">
        <v>12</v>
      </c>
      <c r="BY6" t="n">
        <v>13</v>
      </c>
      <c r="BZ6" t="n">
        <v>14</v>
      </c>
      <c r="CA6" t="n">
        <v>15</v>
      </c>
      <c r="CB6" t="n">
        <v>16</v>
      </c>
      <c r="CC6" t="n">
        <v>17</v>
      </c>
      <c r="CD6" t="n">
        <v>18</v>
      </c>
      <c r="CE6" t="n">
        <v>19</v>
      </c>
      <c r="CF6" t="n">
        <v>20</v>
      </c>
      <c r="CG6" t="n">
        <v>21</v>
      </c>
      <c r="CH6" t="n">
        <v>22</v>
      </c>
      <c r="CI6" t="n">
        <v>23</v>
      </c>
      <c r="CJ6" t="n">
        <v>24</v>
      </c>
      <c r="CK6" t="n">
        <v>25</v>
      </c>
      <c r="CL6" t="n">
        <v>26</v>
      </c>
      <c r="CM6" t="n">
        <v>27</v>
      </c>
      <c r="CN6" t="n">
        <v>28</v>
      </c>
      <c r="CO6" t="n">
        <v>29</v>
      </c>
      <c r="CP6" t="n">
        <v>30</v>
      </c>
      <c r="CQ6" t="n">
        <v>31</v>
      </c>
      <c r="CR6" t="n">
        <v>32</v>
      </c>
      <c r="CS6" t="n">
        <v>33</v>
      </c>
      <c r="CT6" t="n">
        <v>34</v>
      </c>
      <c r="CU6" t="n">
        <v>35</v>
      </c>
      <c r="CV6" t="n">
        <v>36</v>
      </c>
      <c r="CW6" t="n">
        <v>37</v>
      </c>
      <c r="CX6" t="n">
        <v>38</v>
      </c>
      <c r="CY6" t="n">
        <v>39</v>
      </c>
      <c r="CZ6" t="n">
        <v>40</v>
      </c>
      <c r="DA6" t="n">
        <v>41</v>
      </c>
      <c r="DB6" t="n">
        <v>42</v>
      </c>
      <c r="DC6" t="n">
        <v>43</v>
      </c>
      <c r="DD6" t="n">
        <v>44</v>
      </c>
      <c r="DE6" t="n">
        <v>45</v>
      </c>
      <c r="DF6" t="n">
        <v>46</v>
      </c>
      <c r="DG6" t="n">
        <v>47</v>
      </c>
      <c r="DH6" t="n">
        <v>48</v>
      </c>
      <c r="DI6" t="n">
        <v>49</v>
      </c>
      <c r="DJ6" t="n">
        <v>50</v>
      </c>
      <c r="DK6" t="n">
        <v>51</v>
      </c>
      <c r="DL6" t="n">
        <v>52</v>
      </c>
      <c r="DM6" t="n">
        <v>53</v>
      </c>
      <c r="DN6" t="n">
        <v>54</v>
      </c>
      <c r="DO6" t="n">
        <v>55</v>
      </c>
      <c r="DP6" t="n">
        <v>56</v>
      </c>
      <c r="DQ6" t="n">
        <v>57</v>
      </c>
      <c r="DR6" t="n">
        <v>58</v>
      </c>
      <c r="DS6" t="n">
        <v>59</v>
      </c>
      <c r="DT6" t="n">
        <v>60</v>
      </c>
      <c r="DU6" s="8" t="n"/>
      <c r="DV6" s="8" t="n"/>
    </row>
    <row r="7" hidden="1" ht="27.75" customHeight="1">
      <c r="C7" s="52" t="inlineStr">
        <is>
          <t>Puntajes:</t>
        </is>
      </c>
      <c r="D7" s="54" t="n"/>
      <c r="E7" s="23">
        <f>IF(VLOOKUP(E6,Hoja1!$F$2:$J$61,4,FALSE)&lt;&gt;0,VLOOKUP(E6,Hoja1!$F$2:$J$61,4,FALSE),"")</f>
        <v/>
      </c>
      <c r="F7" s="23">
        <f>IF(VLOOKUP(F6,Hoja1!$F$2:$J$61,4,FALSE)&lt;&gt;0,VLOOKUP(F6,Hoja1!$F$2:$J$61,4,FALSE),"")</f>
        <v/>
      </c>
      <c r="G7" s="23">
        <f>IF(VLOOKUP(G6,Hoja1!$F$2:$J$61,4,FALSE)&lt;&gt;0,VLOOKUP(G6,Hoja1!$F$2:$J$61,4,FALSE),"")</f>
        <v/>
      </c>
      <c r="H7" s="23">
        <f>IF(VLOOKUP(H6,Hoja1!$F$2:$J$61,4,FALSE)&lt;&gt;0,VLOOKUP(H6,Hoja1!$F$2:$J$61,4,FALSE),"")</f>
        <v/>
      </c>
      <c r="I7" s="23">
        <f>IF(VLOOKUP(I6,Hoja1!$F$2:$J$61,4,FALSE)&lt;&gt;0,VLOOKUP(I6,Hoja1!$F$2:$J$61,4,FALSE),"")</f>
        <v/>
      </c>
      <c r="J7" s="23">
        <f>IF(VLOOKUP(J6,Hoja1!$F$2:$J$61,4,FALSE)&lt;&gt;0,VLOOKUP(J6,Hoja1!$F$2:$J$61,4,FALSE),"")</f>
        <v/>
      </c>
      <c r="K7" s="23">
        <f>IF(VLOOKUP(K6,Hoja1!$F$2:$J$61,4,FALSE)&lt;&gt;0,VLOOKUP(K6,Hoja1!$F$2:$J$61,4,FALSE),"")</f>
        <v/>
      </c>
      <c r="L7" s="23">
        <f>IF(VLOOKUP(L6,Hoja1!$F$2:$J$61,4,FALSE)&lt;&gt;0,VLOOKUP(L6,Hoja1!$F$2:$J$61,4,FALSE),"")</f>
        <v/>
      </c>
      <c r="M7" s="23">
        <f>IF(VLOOKUP(M6,Hoja1!$F$2:$J$61,4,FALSE)&lt;&gt;0,VLOOKUP(M6,Hoja1!$F$2:$J$61,4,FALSE),"")</f>
        <v/>
      </c>
      <c r="N7" s="23">
        <f>IF(VLOOKUP(N6,Hoja1!$F$2:$J$61,4,FALSE)&lt;&gt;0,VLOOKUP(N6,Hoja1!$F$2:$J$61,4,FALSE),"")</f>
        <v/>
      </c>
      <c r="O7" s="23">
        <f>IF(VLOOKUP(O6,Hoja1!$F$2:$J$61,4,FALSE)&lt;&gt;0,VLOOKUP(O6,Hoja1!$F$2:$J$61,4,FALSE),"")</f>
        <v/>
      </c>
      <c r="P7" s="23">
        <f>IF(VLOOKUP(P6,Hoja1!$F$2:$J$61,4,FALSE)&lt;&gt;0,VLOOKUP(P6,Hoja1!$F$2:$J$61,4,FALSE),"")</f>
        <v/>
      </c>
      <c r="Q7" s="23">
        <f>IF(VLOOKUP(Q6,Hoja1!$F$2:$J$61,4,FALSE)&lt;&gt;0,VLOOKUP(Q6,Hoja1!$F$2:$J$61,4,FALSE),"")</f>
        <v/>
      </c>
      <c r="R7" s="23">
        <f>IF(VLOOKUP(R6,Hoja1!$F$2:$J$61,4,FALSE)&lt;&gt;0,VLOOKUP(R6,Hoja1!$F$2:$J$61,4,FALSE),"")</f>
        <v/>
      </c>
      <c r="S7" s="23">
        <f>IF(VLOOKUP(S6,Hoja1!$F$2:$J$61,4,FALSE)&lt;&gt;0,VLOOKUP(S6,Hoja1!$F$2:$J$61,4,FALSE),"")</f>
        <v/>
      </c>
      <c r="T7" s="23">
        <f>IF(VLOOKUP(T6,Hoja1!$F$2:$J$61,4,FALSE)&lt;&gt;0,VLOOKUP(T6,Hoja1!$F$2:$J$61,4,FALSE),"")</f>
        <v/>
      </c>
      <c r="U7" s="23">
        <f>IF(VLOOKUP(U6,Hoja1!$F$2:$J$61,4,FALSE)&lt;&gt;0,VLOOKUP(U6,Hoja1!$F$2:$J$61,4,FALSE),"")</f>
        <v/>
      </c>
      <c r="V7" s="23">
        <f>IF(VLOOKUP(V6,Hoja1!$F$2:$J$61,4,FALSE)&lt;&gt;0,VLOOKUP(V6,Hoja1!$F$2:$J$61,4,FALSE),"")</f>
        <v/>
      </c>
      <c r="W7" s="23">
        <f>IF(VLOOKUP(W6,Hoja1!$F$2:$J$61,4,FALSE)&lt;&gt;0,VLOOKUP(W6,Hoja1!$F$2:$J$61,4,FALSE),"")</f>
        <v/>
      </c>
      <c r="X7" s="23">
        <f>IF(VLOOKUP(X6,Hoja1!$F$2:$J$61,4,FALSE)&lt;&gt;0,VLOOKUP(X6,Hoja1!$F$2:$J$61,4,FALSE),"")</f>
        <v/>
      </c>
      <c r="Y7" s="23">
        <f>IF(VLOOKUP(Y6,Hoja1!$F$2:$J$61,4,FALSE)&lt;&gt;0,VLOOKUP(Y6,Hoja1!$F$2:$J$61,4,FALSE),"")</f>
        <v/>
      </c>
      <c r="Z7" s="23">
        <f>IF(VLOOKUP(Z6,Hoja1!$F$2:$J$61,4,FALSE)&lt;&gt;0,VLOOKUP(Z6,Hoja1!$F$2:$J$61,4,FALSE),"")</f>
        <v/>
      </c>
      <c r="AA7" s="23">
        <f>IF(VLOOKUP(AA6,Hoja1!$F$2:$J$61,4,FALSE)&lt;&gt;0,VLOOKUP(AA6,Hoja1!$F$2:$J$61,4,FALSE),"")</f>
        <v/>
      </c>
      <c r="AB7" s="23">
        <f>IF(VLOOKUP(AB6,Hoja1!$F$2:$J$61,4,FALSE)&lt;&gt;0,VLOOKUP(AB6,Hoja1!$F$2:$J$61,4,FALSE),"")</f>
        <v/>
      </c>
      <c r="AC7" s="23">
        <f>IF(VLOOKUP(AC6,Hoja1!$F$2:$J$61,4,FALSE)&lt;&gt;0,VLOOKUP(AC6,Hoja1!$F$2:$J$61,4,FALSE),"")</f>
        <v/>
      </c>
      <c r="AD7" s="23">
        <f>IF(VLOOKUP(AD6,Hoja1!$F$2:$J$61,4,FALSE)&lt;&gt;0,VLOOKUP(AD6,Hoja1!$F$2:$J$61,4,FALSE),"")</f>
        <v/>
      </c>
      <c r="AE7" s="23">
        <f>IF(VLOOKUP(AE6,Hoja1!$F$2:$J$61,4,FALSE)&lt;&gt;0,VLOOKUP(AE6,Hoja1!$F$2:$J$61,4,FALSE),"")</f>
        <v/>
      </c>
      <c r="AF7" s="23">
        <f>IF(VLOOKUP(AF6,Hoja1!$F$2:$J$61,4,FALSE)&lt;&gt;0,VLOOKUP(AF6,Hoja1!$F$2:$J$61,4,FALSE),"")</f>
        <v/>
      </c>
      <c r="AG7" s="23">
        <f>IF(VLOOKUP(AG6,Hoja1!$F$2:$J$61,4,FALSE)&lt;&gt;0,VLOOKUP(AG6,Hoja1!$F$2:$J$61,4,FALSE),"")</f>
        <v/>
      </c>
      <c r="AH7" s="23">
        <f>IF(VLOOKUP(AH6,Hoja1!$F$2:$J$61,4,FALSE)&lt;&gt;0,VLOOKUP(AH6,Hoja1!$F$2:$J$61,4,FALSE),"")</f>
        <v/>
      </c>
      <c r="AI7" s="23">
        <f>IF(VLOOKUP(AI6,Hoja1!$F$2:$J$61,4,FALSE)&lt;&gt;0,VLOOKUP(AI6,Hoja1!$F$2:$J$61,4,FALSE),"")</f>
        <v/>
      </c>
      <c r="AJ7" s="23">
        <f>IF(VLOOKUP(AJ6,Hoja1!$F$2:$J$61,4,FALSE)&lt;&gt;0,VLOOKUP(AJ6,Hoja1!$F$2:$J$61,4,FALSE),"")</f>
        <v/>
      </c>
      <c r="AK7" s="23">
        <f>IF(VLOOKUP(AK6,Hoja1!$F$2:$J$61,4,FALSE)&lt;&gt;0,VLOOKUP(AK6,Hoja1!$F$2:$J$61,4,FALSE),"")</f>
        <v/>
      </c>
      <c r="AL7" s="23">
        <f>IF(VLOOKUP(AL6,Hoja1!$F$2:$J$61,4,FALSE)&lt;&gt;0,VLOOKUP(AL6,Hoja1!$F$2:$J$61,4,FALSE),"")</f>
        <v/>
      </c>
      <c r="AM7" s="23">
        <f>IF(VLOOKUP(AM6,Hoja1!$F$2:$J$61,4,FALSE)&lt;&gt;0,VLOOKUP(AM6,Hoja1!$F$2:$J$61,4,FALSE),"")</f>
        <v/>
      </c>
      <c r="AN7" s="23">
        <f>IF(VLOOKUP(AN6,Hoja1!$F$2:$J$61,4,FALSE)&lt;&gt;0,VLOOKUP(AN6,Hoja1!$F$2:$J$61,4,FALSE),"")</f>
        <v/>
      </c>
      <c r="AO7" s="23">
        <f>IF(VLOOKUP(AO6,Hoja1!$F$2:$J$61,4,FALSE)&lt;&gt;0,VLOOKUP(AO6,Hoja1!$F$2:$J$61,4,FALSE),"")</f>
        <v/>
      </c>
      <c r="AP7" s="23">
        <f>IF(VLOOKUP(AP6,Hoja1!$F$2:$J$61,4,FALSE)&lt;&gt;0,VLOOKUP(AP6,Hoja1!$F$2:$J$61,4,FALSE),"")</f>
        <v/>
      </c>
      <c r="AQ7" s="23">
        <f>IF(VLOOKUP(AQ6,Hoja1!$F$2:$J$61,4,FALSE)&lt;&gt;0,VLOOKUP(AQ6,Hoja1!$F$2:$J$61,4,FALSE),"")</f>
        <v/>
      </c>
      <c r="AR7" s="23">
        <f>IF(VLOOKUP(AR6,Hoja1!$F$2:$J$61,4,FALSE)&lt;&gt;0,VLOOKUP(AR6,Hoja1!$F$2:$J$61,4,FALSE),"")</f>
        <v/>
      </c>
      <c r="AS7" s="23">
        <f>IF(VLOOKUP(AS6,Hoja1!$F$2:$J$61,4,FALSE)&lt;&gt;0,VLOOKUP(AS6,Hoja1!$F$2:$J$61,4,FALSE),"")</f>
        <v/>
      </c>
      <c r="AT7" s="23">
        <f>IF(VLOOKUP(AT6,Hoja1!$F$2:$J$61,4,FALSE)&lt;&gt;0,VLOOKUP(AT6,Hoja1!$F$2:$J$61,4,FALSE),"")</f>
        <v/>
      </c>
      <c r="AU7" s="23">
        <f>IF(VLOOKUP(AU6,Hoja1!$F$2:$J$61,4,FALSE)&lt;&gt;0,VLOOKUP(AU6,Hoja1!$F$2:$J$61,4,FALSE),"")</f>
        <v/>
      </c>
      <c r="AV7" s="23">
        <f>IF(VLOOKUP(AV6,Hoja1!$F$2:$J$61,4,FALSE)&lt;&gt;0,VLOOKUP(AV6,Hoja1!$F$2:$J$61,4,FALSE),"")</f>
        <v/>
      </c>
      <c r="AW7" s="23">
        <f>IF(VLOOKUP(AW6,Hoja1!$F$2:$J$61,4,FALSE)&lt;&gt;0,VLOOKUP(AW6,Hoja1!$F$2:$J$61,4,FALSE),"")</f>
        <v/>
      </c>
      <c r="AX7" s="23">
        <f>IF(VLOOKUP(AX6,Hoja1!$F$2:$J$61,4,FALSE)&lt;&gt;0,VLOOKUP(AX6,Hoja1!$F$2:$J$61,4,FALSE),"")</f>
        <v/>
      </c>
      <c r="AY7" s="23">
        <f>IF(VLOOKUP(AY6,Hoja1!$F$2:$J$61,4,FALSE)&lt;&gt;0,VLOOKUP(AY6,Hoja1!$F$2:$J$61,4,FALSE),"")</f>
        <v/>
      </c>
      <c r="AZ7" s="23">
        <f>IF(VLOOKUP(AZ6,Hoja1!$F$2:$J$61,4,FALSE)&lt;&gt;0,VLOOKUP(AZ6,Hoja1!$F$2:$J$61,4,FALSE),"")</f>
        <v/>
      </c>
      <c r="BA7" s="23">
        <f>IF(VLOOKUP(BA6,Hoja1!$F$2:$J$61,4,FALSE)&lt;&gt;0,VLOOKUP(BA6,Hoja1!$F$2:$J$61,4,FALSE),"")</f>
        <v/>
      </c>
      <c r="BB7" s="23">
        <f>IF(VLOOKUP(BB6,Hoja1!$F$2:$J$61,4,FALSE)&lt;&gt;0,VLOOKUP(BB6,Hoja1!$F$2:$J$61,4,FALSE),"")</f>
        <v/>
      </c>
      <c r="BC7" s="23">
        <f>IF(VLOOKUP(BC6,Hoja1!$F$2:$J$61,4,FALSE)&lt;&gt;0,VLOOKUP(BC6,Hoja1!$F$2:$J$61,4,FALSE),"")</f>
        <v/>
      </c>
      <c r="BD7" s="23">
        <f>IF(VLOOKUP(BD6,Hoja1!$F$2:$J$61,4,FALSE)&lt;&gt;0,VLOOKUP(BD6,Hoja1!$F$2:$J$61,4,FALSE),"")</f>
        <v/>
      </c>
      <c r="BE7" s="23">
        <f>IF(VLOOKUP(BE6,Hoja1!$F$2:$J$61,4,FALSE)&lt;&gt;0,VLOOKUP(BE6,Hoja1!$F$2:$J$61,4,FALSE),"")</f>
        <v/>
      </c>
      <c r="BF7" s="23">
        <f>IF(VLOOKUP(BF6,Hoja1!$F$2:$J$61,4,FALSE)&lt;&gt;0,VLOOKUP(BF6,Hoja1!$F$2:$J$61,4,FALSE),"")</f>
        <v/>
      </c>
      <c r="BG7" s="23">
        <f>IF(VLOOKUP(BG6,Hoja1!$F$2:$J$61,4,FALSE)&lt;&gt;0,VLOOKUP(BG6,Hoja1!$F$2:$J$61,4,FALSE),"")</f>
        <v/>
      </c>
      <c r="BH7" s="23">
        <f>IF(VLOOKUP(BH6,Hoja1!$F$2:$J$61,4,FALSE)&lt;&gt;0,VLOOKUP(BH6,Hoja1!$F$2:$J$61,4,FALSE),"")</f>
        <v/>
      </c>
      <c r="BI7" s="23">
        <f>IF(VLOOKUP(BI6,Hoja1!$F$2:$J$61,4,FALSE)&lt;&gt;0,VLOOKUP(BI6,Hoja1!$F$2:$J$61,4,FALSE),"")</f>
        <v/>
      </c>
      <c r="BJ7" s="23">
        <f>IF(VLOOKUP(BJ6,Hoja1!$F$2:$J$61,4,FALSE)&lt;&gt;0,VLOOKUP(BJ6,Hoja1!$F$2:$J$61,4,FALSE),"")</f>
        <v/>
      </c>
      <c r="BK7" s="23">
        <f>IF(VLOOKUP(BK6,Hoja1!$F$2:$J$61,4,FALSE)&lt;&gt;0,VLOOKUP(BK6,Hoja1!$F$2:$J$61,4,FALSE),"")</f>
        <v/>
      </c>
      <c r="BL7" s="23">
        <f>IF(VLOOKUP(BL6,Hoja1!$F$2:$J$61,4,FALSE)&lt;&gt;0,VLOOKUP(BL6,Hoja1!$F$2:$J$61,4,FALSE),"")</f>
        <v/>
      </c>
      <c r="BM7" s="9" t="n"/>
      <c r="BN7" s="9" t="n"/>
      <c r="BO7" s="9" t="n"/>
      <c r="BP7" s="9" t="n"/>
      <c r="BQ7" s="9" t="n"/>
      <c r="BR7" s="9" t="n"/>
      <c r="BS7" s="9" t="n"/>
      <c r="BT7" s="9" t="n"/>
      <c r="BU7" s="9" t="n"/>
      <c r="BV7" s="9" t="n"/>
      <c r="BW7" s="9" t="n"/>
      <c r="BX7" s="9" t="n"/>
      <c r="BY7" s="9" t="n"/>
      <c r="BZ7" s="9" t="n"/>
      <c r="CA7" s="9" t="n"/>
      <c r="CB7" s="9" t="n"/>
      <c r="CC7" s="9" t="n"/>
      <c r="CD7" s="9" t="n"/>
      <c r="CE7" s="9" t="n"/>
      <c r="CF7" s="9">
        <f>IF(VLOOKUP(CF6,Hoja1!$F$2:$J$61,4,FALSE)&lt;&gt;0,VLOOKUP(CF6,Hoja1!$F$2:$J$61,4,FALSE),"")</f>
        <v/>
      </c>
      <c r="CG7" s="9">
        <f>IF(VLOOKUP(CG6,Hoja1!$F$2:$J$61,4,FALSE)&lt;&gt;0,VLOOKUP(CG6,Hoja1!$F$2:$J$61,4,FALSE),"")</f>
        <v/>
      </c>
      <c r="CH7" s="9">
        <f>IF(VLOOKUP(CH6,Hoja1!$F$2:$J$61,4,FALSE)&lt;&gt;0,VLOOKUP(CH6,Hoja1!$F$2:$J$61,4,FALSE),"")</f>
        <v/>
      </c>
      <c r="CI7" s="9">
        <f>IF(VLOOKUP(CI6,Hoja1!$F$2:$J$61,4,FALSE)&lt;&gt;0,VLOOKUP(CI6,Hoja1!$F$2:$J$61,4,FALSE),"")</f>
        <v/>
      </c>
      <c r="CJ7" s="9">
        <f>IF(VLOOKUP(CJ6,Hoja1!$F$2:$J$61,4,FALSE)&lt;&gt;0,VLOOKUP(CJ6,Hoja1!$F$2:$J$61,4,FALSE),"")</f>
        <v/>
      </c>
      <c r="CK7" s="9">
        <f>IF(VLOOKUP(CK6,Hoja1!$F$2:$J$61,4,FALSE)&lt;&gt;0,VLOOKUP(CK6,Hoja1!$F$2:$J$61,4,FALSE),"")</f>
        <v/>
      </c>
      <c r="CL7" s="9">
        <f>IF(VLOOKUP(CL6,Hoja1!$F$2:$J$61,4,FALSE)&lt;&gt;0,VLOOKUP(CL6,Hoja1!$F$2:$J$61,4,FALSE),"")</f>
        <v/>
      </c>
      <c r="CM7" s="9">
        <f>IF(VLOOKUP(CM6,Hoja1!$F$2:$J$61,4,FALSE)&lt;&gt;0,VLOOKUP(CM6,Hoja1!$F$2:$J$61,4,FALSE),"")</f>
        <v/>
      </c>
      <c r="CN7" s="9">
        <f>IF(VLOOKUP(CN6,Hoja1!$F$2:$J$61,4,FALSE)&lt;&gt;0,VLOOKUP(CN6,Hoja1!$F$2:$J$61,4,FALSE),"")</f>
        <v/>
      </c>
      <c r="CO7" s="9">
        <f>IF(VLOOKUP(CO6,Hoja1!$F$2:$J$61,4,FALSE)&lt;&gt;0,VLOOKUP(CO6,Hoja1!$F$2:$J$61,4,FALSE),"")</f>
        <v/>
      </c>
      <c r="CP7" s="9">
        <f>IF(VLOOKUP(CP6,Hoja1!$F$2:$J$61,4,FALSE)&lt;&gt;0,VLOOKUP(CP6,Hoja1!$F$2:$J$61,4,FALSE),"")</f>
        <v/>
      </c>
      <c r="CQ7" s="9">
        <f>IF(VLOOKUP(CQ6,Hoja1!$F$2:$J$61,4,FALSE)&lt;&gt;0,VLOOKUP(CQ6,Hoja1!$F$2:$J$61,4,FALSE),"")</f>
        <v/>
      </c>
      <c r="CR7" s="9">
        <f>IF(VLOOKUP(CR6,Hoja1!$F$2:$J$61,4,FALSE)&lt;&gt;0,VLOOKUP(CR6,Hoja1!$F$2:$J$61,4,FALSE),"")</f>
        <v/>
      </c>
      <c r="CS7" s="9">
        <f>IF(VLOOKUP(CS6,Hoja1!$F$2:$J$61,4,FALSE)&lt;&gt;0,VLOOKUP(CS6,Hoja1!$F$2:$J$61,4,FALSE),"")</f>
        <v/>
      </c>
      <c r="CT7" s="9">
        <f>IF(VLOOKUP(CT6,Hoja1!$F$2:$J$61,4,FALSE)&lt;&gt;0,VLOOKUP(CT6,Hoja1!$F$2:$J$61,4,FALSE),"")</f>
        <v/>
      </c>
      <c r="CU7" s="9">
        <f>IF(VLOOKUP(CU6,Hoja1!$F$2:$J$61,4,FALSE)&lt;&gt;0,VLOOKUP(CU6,Hoja1!$F$2:$J$61,4,FALSE),"")</f>
        <v/>
      </c>
      <c r="CV7" s="9">
        <f>IF(VLOOKUP(CV6,Hoja1!$F$2:$J$61,4,FALSE)&lt;&gt;0,VLOOKUP(CV6,Hoja1!$F$2:$J$61,4,FALSE),"")</f>
        <v/>
      </c>
      <c r="CW7" s="9">
        <f>IF(VLOOKUP(CW6,Hoja1!$F$2:$J$61,4,FALSE)&lt;&gt;0,VLOOKUP(CW6,Hoja1!$F$2:$J$61,4,FALSE),"")</f>
        <v/>
      </c>
      <c r="CX7" s="9">
        <f>IF(VLOOKUP(CX6,Hoja1!$F$2:$J$61,4,FALSE)&lt;&gt;0,VLOOKUP(CX6,Hoja1!$F$2:$J$61,4,FALSE),"")</f>
        <v/>
      </c>
      <c r="CY7" s="9">
        <f>IF(VLOOKUP(CY6,Hoja1!$F$2:$J$61,4,FALSE)&lt;&gt;0,VLOOKUP(CY6,Hoja1!$F$2:$J$61,4,FALSE),"")</f>
        <v/>
      </c>
      <c r="CZ7" s="9">
        <f>IF(VLOOKUP(CZ6,Hoja1!$F$2:$J$61,4,FALSE)&lt;&gt;0,VLOOKUP(CZ6,Hoja1!$F$2:$J$61,4,FALSE),"")</f>
        <v/>
      </c>
      <c r="DA7" s="9">
        <f>IF(VLOOKUP(DA6,Hoja1!$F$2:$J$61,4,FALSE)&lt;&gt;0,VLOOKUP(DA6,Hoja1!$F$2:$J$61,4,FALSE),"")</f>
        <v/>
      </c>
      <c r="DB7" s="9">
        <f>IF(VLOOKUP(DB6,Hoja1!$F$2:$J$61,4,FALSE)&lt;&gt;0,VLOOKUP(DB6,Hoja1!$F$2:$J$61,4,FALSE),"")</f>
        <v/>
      </c>
      <c r="DC7" s="9">
        <f>IF(VLOOKUP(DC6,Hoja1!$F$2:$J$61,4,FALSE)&lt;&gt;0,VLOOKUP(DC6,Hoja1!$F$2:$J$61,4,FALSE),"")</f>
        <v/>
      </c>
      <c r="DD7" s="9">
        <f>IF(VLOOKUP(DD6,Hoja1!$F$2:$J$61,4,FALSE)&lt;&gt;0,VLOOKUP(DD6,Hoja1!$F$2:$J$61,4,FALSE),"")</f>
        <v/>
      </c>
      <c r="DE7" s="9">
        <f>IF(VLOOKUP(DE6,Hoja1!$F$2:$J$61,4,FALSE)&lt;&gt;0,VLOOKUP(DE6,Hoja1!$F$2:$J$61,4,FALSE),"")</f>
        <v/>
      </c>
      <c r="DF7" s="9">
        <f>IF(VLOOKUP(DF6,Hoja1!$F$2:$J$61,4,FALSE)&lt;&gt;0,VLOOKUP(DF6,Hoja1!$F$2:$J$61,4,FALSE),"")</f>
        <v/>
      </c>
      <c r="DG7" s="9">
        <f>IF(VLOOKUP(DG6,Hoja1!$F$2:$J$61,4,FALSE)&lt;&gt;0,VLOOKUP(DG6,Hoja1!$F$2:$J$61,4,FALSE),"")</f>
        <v/>
      </c>
      <c r="DH7" s="9">
        <f>IF(VLOOKUP(DH6,Hoja1!$F$2:$J$61,4,FALSE)&lt;&gt;0,VLOOKUP(DH6,Hoja1!$F$2:$J$61,4,FALSE),"")</f>
        <v/>
      </c>
      <c r="DI7" s="9">
        <f>IF(VLOOKUP(DI6,Hoja1!$F$2:$J$61,4,FALSE)&lt;&gt;0,VLOOKUP(DI6,Hoja1!$F$2:$J$61,4,FALSE),"")</f>
        <v/>
      </c>
      <c r="DJ7" s="9">
        <f>IF(VLOOKUP(DJ6,Hoja1!$F$2:$J$61,4,FALSE)&lt;&gt;0,VLOOKUP(DJ6,Hoja1!$F$2:$J$61,4,FALSE),"")</f>
        <v/>
      </c>
      <c r="DK7" s="9">
        <f>IF(VLOOKUP(DK6,Hoja1!$F$2:$J$61,4,FALSE)&lt;&gt;0,VLOOKUP(DK6,Hoja1!$F$2:$J$61,4,FALSE),"")</f>
        <v/>
      </c>
      <c r="DL7" s="9">
        <f>IF(VLOOKUP(DL6,Hoja1!$F$2:$J$61,4,FALSE)&lt;&gt;0,VLOOKUP(DL6,Hoja1!$F$2:$J$61,4,FALSE),"")</f>
        <v/>
      </c>
      <c r="DM7" s="9">
        <f>IF(VLOOKUP(DM6,Hoja1!$F$2:$J$61,4,FALSE)&lt;&gt;0,VLOOKUP(DM6,Hoja1!$F$2:$J$61,4,FALSE),"")</f>
        <v/>
      </c>
      <c r="DN7" s="9">
        <f>IF(VLOOKUP(DN6,Hoja1!$F$2:$J$61,4,FALSE)&lt;&gt;0,VLOOKUP(DN6,Hoja1!$F$2:$J$61,4,FALSE),"")</f>
        <v/>
      </c>
      <c r="DO7" s="9">
        <f>IF(VLOOKUP(DO6,Hoja1!$F$2:$J$61,4,FALSE)&lt;&gt;0,VLOOKUP(DO6,Hoja1!$F$2:$J$61,4,FALSE),"")</f>
        <v/>
      </c>
      <c r="DP7" s="9">
        <f>IF(VLOOKUP(DP6,Hoja1!$F$2:$J$61,4,FALSE)&lt;&gt;0,VLOOKUP(DP6,Hoja1!$F$2:$J$61,4,FALSE),"")</f>
        <v/>
      </c>
      <c r="DQ7" s="9">
        <f>IF(VLOOKUP(DQ6,Hoja1!$F$2:$J$61,4,FALSE)&lt;&gt;0,VLOOKUP(DQ6,Hoja1!$F$2:$J$61,4,FALSE),"")</f>
        <v/>
      </c>
      <c r="DR7" s="9">
        <f>IF(VLOOKUP(DR6,Hoja1!$F$2:$J$61,4,FALSE)&lt;&gt;0,VLOOKUP(DR6,Hoja1!$F$2:$J$61,4,FALSE),"")</f>
        <v/>
      </c>
      <c r="DS7" s="9">
        <f>IF(VLOOKUP(DS6,Hoja1!$F$2:$J$61,4,FALSE)&lt;&gt;0,VLOOKUP(DS6,Hoja1!$F$2:$J$61,4,FALSE),"")</f>
        <v/>
      </c>
      <c r="DT7" s="9">
        <f>IF(VLOOKUP(DT6,Hoja1!$F$2:$J$61,4,FALSE)&lt;&gt;0,VLOOKUP(DT6,Hoja1!$F$2:$J$61,4,FALSE),"")</f>
        <v/>
      </c>
      <c r="DU7" s="10">
        <f>Hoja1!I1</f>
        <v/>
      </c>
      <c r="DV7" s="10">
        <f>60-COUNTBLANK(E8:BL8)</f>
        <v/>
      </c>
    </row>
    <row r="8" hidden="1" ht="25.5" customHeight="1" thickBot="1">
      <c r="A8" s="9" t="n"/>
      <c r="B8" s="11" t="n"/>
      <c r="C8" s="55" t="inlineStr">
        <is>
          <t>Preguntas:</t>
        </is>
      </c>
      <c r="D8" s="56" t="n"/>
      <c r="E8" s="24">
        <f>IF(VLOOKUP(E6,Hoja1!$F$2:$J$61,3,FALSE)&lt;&gt;0,VLOOKUP(E6,Hoja1!$F$2:$J$61,3,FALSE),"")</f>
        <v/>
      </c>
      <c r="F8" s="24">
        <f>IF(VLOOKUP(F6,Hoja1!$F$2:$J$61,3,FALSE)&lt;&gt;0,VLOOKUP(F6,Hoja1!$F$2:$J$61,3,FALSE),"")</f>
        <v/>
      </c>
      <c r="G8" s="24">
        <f>IF(VLOOKUP(G6,Hoja1!$F$2:$J$61,3,FALSE)&lt;&gt;0,VLOOKUP(G6,Hoja1!$F$2:$J$61,3,FALSE),"")</f>
        <v/>
      </c>
      <c r="H8" s="24">
        <f>IF(VLOOKUP(H6,Hoja1!$F$2:$J$61,3,FALSE)&lt;&gt;0,VLOOKUP(H6,Hoja1!$F$2:$J$61,3,FALSE),"")</f>
        <v/>
      </c>
      <c r="I8" s="24">
        <f>IF(VLOOKUP(I6,Hoja1!$F$2:$J$61,3,FALSE)&lt;&gt;0,VLOOKUP(I6,Hoja1!$F$2:$J$61,3,FALSE),"")</f>
        <v/>
      </c>
      <c r="J8" s="24">
        <f>IF(VLOOKUP(J6,Hoja1!$F$2:$J$61,3,FALSE)&lt;&gt;0,VLOOKUP(J6,Hoja1!$F$2:$J$61,3,FALSE),"")</f>
        <v/>
      </c>
      <c r="K8" s="24">
        <f>IF(VLOOKUP(K6,Hoja1!$F$2:$J$61,3,FALSE)&lt;&gt;0,VLOOKUP(K6,Hoja1!$F$2:$J$61,3,FALSE),"")</f>
        <v/>
      </c>
      <c r="L8" s="24">
        <f>IF(VLOOKUP(L6,Hoja1!$F$2:$J$61,3,FALSE)&lt;&gt;0,VLOOKUP(L6,Hoja1!$F$2:$J$61,3,FALSE),"")</f>
        <v/>
      </c>
      <c r="M8" s="24">
        <f>IF(VLOOKUP(M6,Hoja1!$F$2:$J$61,3,FALSE)&lt;&gt;0,VLOOKUP(M6,Hoja1!$F$2:$J$61,3,FALSE),"")</f>
        <v/>
      </c>
      <c r="N8" s="24">
        <f>IF(VLOOKUP(N6,Hoja1!$F$2:$J$61,3,FALSE)&lt;&gt;0,VLOOKUP(N6,Hoja1!$F$2:$J$61,3,FALSE),"")</f>
        <v/>
      </c>
      <c r="O8" s="24">
        <f>IF(VLOOKUP(O6,Hoja1!$F$2:$J$61,3,FALSE)&lt;&gt;0,VLOOKUP(O6,Hoja1!$F$2:$J$61,3,FALSE),"")</f>
        <v/>
      </c>
      <c r="P8" s="24">
        <f>IF(VLOOKUP(P6,Hoja1!$F$2:$J$61,3,FALSE)&lt;&gt;0,VLOOKUP(P6,Hoja1!$F$2:$J$61,3,FALSE),"")</f>
        <v/>
      </c>
      <c r="Q8" s="24">
        <f>IF(VLOOKUP(Q6,Hoja1!$F$2:$J$61,3,FALSE)&lt;&gt;0,VLOOKUP(Q6,Hoja1!$F$2:$J$61,3,FALSE),"")</f>
        <v/>
      </c>
      <c r="R8" s="24">
        <f>IF(VLOOKUP(R6,Hoja1!$F$2:$J$61,3,FALSE)&lt;&gt;0,VLOOKUP(R6,Hoja1!$F$2:$J$61,3,FALSE),"")</f>
        <v/>
      </c>
      <c r="S8" s="24">
        <f>IF(VLOOKUP(S6,Hoja1!$F$2:$J$61,3,FALSE)&lt;&gt;0,VLOOKUP(S6,Hoja1!$F$2:$J$61,3,FALSE),"")</f>
        <v/>
      </c>
      <c r="T8" s="24">
        <f>IF(VLOOKUP(T6,Hoja1!$F$2:$J$61,3,FALSE)&lt;&gt;0,VLOOKUP(T6,Hoja1!$F$2:$J$61,3,FALSE),"")</f>
        <v/>
      </c>
      <c r="U8" s="24">
        <f>IF(VLOOKUP(U6,Hoja1!$F$2:$J$61,3,FALSE)&lt;&gt;0,VLOOKUP(U6,Hoja1!$F$2:$J$61,3,FALSE),"")</f>
        <v/>
      </c>
      <c r="V8" s="24">
        <f>IF(VLOOKUP(V6,Hoja1!$F$2:$J$61,3,FALSE)&lt;&gt;0,VLOOKUP(V6,Hoja1!$F$2:$J$61,3,FALSE),"")</f>
        <v/>
      </c>
      <c r="W8" s="24">
        <f>IF(VLOOKUP(W6,Hoja1!$F$2:$J$61,3,FALSE)&lt;&gt;0,VLOOKUP(W6,Hoja1!$F$2:$J$61,3,FALSE),"")</f>
        <v/>
      </c>
      <c r="X8" s="24">
        <f>IF(VLOOKUP(X6,Hoja1!$F$2:$J$61,3,FALSE)&lt;&gt;0,VLOOKUP(X6,Hoja1!$F$2:$J$61,3,FALSE),"")</f>
        <v/>
      </c>
      <c r="Y8" s="24">
        <f>IF(VLOOKUP(Y6,Hoja1!$F$2:$J$61,3,FALSE)&lt;&gt;0,VLOOKUP(Y6,Hoja1!$F$2:$J$61,3,FALSE),"")</f>
        <v/>
      </c>
      <c r="Z8" s="24">
        <f>IF(VLOOKUP(Z6,Hoja1!$F$2:$J$61,3,FALSE)&lt;&gt;0,VLOOKUP(Z6,Hoja1!$F$2:$J$61,3,FALSE),"")</f>
        <v/>
      </c>
      <c r="AA8" s="24">
        <f>IF(VLOOKUP(AA6,Hoja1!$F$2:$J$61,3,FALSE)&lt;&gt;0,VLOOKUP(AA6,Hoja1!$F$2:$J$61,3,FALSE),"")</f>
        <v/>
      </c>
      <c r="AB8" s="24">
        <f>IF(VLOOKUP(AB6,Hoja1!$F$2:$J$61,3,FALSE)&lt;&gt;0,VLOOKUP(AB6,Hoja1!$F$2:$J$61,3,FALSE),"")</f>
        <v/>
      </c>
      <c r="AC8" s="24">
        <f>IF(VLOOKUP(AC6,Hoja1!$F$2:$J$61,3,FALSE)&lt;&gt;0,VLOOKUP(AC6,Hoja1!$F$2:$J$61,3,FALSE),"")</f>
        <v/>
      </c>
      <c r="AD8" s="24">
        <f>IF(VLOOKUP(AD6,Hoja1!$F$2:$J$61,3,FALSE)&lt;&gt;0,VLOOKUP(AD6,Hoja1!$F$2:$J$61,3,FALSE),"")</f>
        <v/>
      </c>
      <c r="AE8" s="24">
        <f>IF(VLOOKUP(AE6,Hoja1!$F$2:$J$61,3,FALSE)&lt;&gt;0,VLOOKUP(AE6,Hoja1!$F$2:$J$61,3,FALSE),"")</f>
        <v/>
      </c>
      <c r="AF8" s="24">
        <f>IF(VLOOKUP(AF6,Hoja1!$F$2:$J$61,3,FALSE)&lt;&gt;0,VLOOKUP(AF6,Hoja1!$F$2:$J$61,3,FALSE),"")</f>
        <v/>
      </c>
      <c r="AG8" s="24">
        <f>IF(VLOOKUP(AG6,Hoja1!$F$2:$J$61,3,FALSE)&lt;&gt;0,VLOOKUP(AG6,Hoja1!$F$2:$J$61,3,FALSE),"")</f>
        <v/>
      </c>
      <c r="AH8" s="24">
        <f>IF(VLOOKUP(AH6,Hoja1!$F$2:$J$61,3,FALSE)&lt;&gt;0,VLOOKUP(AH6,Hoja1!$F$2:$J$61,3,FALSE),"")</f>
        <v/>
      </c>
      <c r="AI8" s="24">
        <f>IF(VLOOKUP(AI6,Hoja1!$F$2:$J$61,3,FALSE)&lt;&gt;0,VLOOKUP(AI6,Hoja1!$F$2:$J$61,3,FALSE),"")</f>
        <v/>
      </c>
      <c r="AJ8" s="24">
        <f>IF(VLOOKUP(AJ6,Hoja1!$F$2:$J$61,3,FALSE)&lt;&gt;0,VLOOKUP(AJ6,Hoja1!$F$2:$J$61,3,FALSE),"")</f>
        <v/>
      </c>
      <c r="AK8" s="24">
        <f>IF(VLOOKUP(AK6,Hoja1!$F$2:$J$61,3,FALSE)&lt;&gt;0,VLOOKUP(AK6,Hoja1!$F$2:$J$61,3,FALSE),"")</f>
        <v/>
      </c>
      <c r="AL8" s="24">
        <f>IF(VLOOKUP(AL6,Hoja1!$F$2:$J$61,3,FALSE)&lt;&gt;0,VLOOKUP(AL6,Hoja1!$F$2:$J$61,3,FALSE),"")</f>
        <v/>
      </c>
      <c r="AM8" s="24">
        <f>IF(VLOOKUP(AM6,Hoja1!$F$2:$J$61,3,FALSE)&lt;&gt;0,VLOOKUP(AM6,Hoja1!$F$2:$J$61,3,FALSE),"")</f>
        <v/>
      </c>
      <c r="AN8" s="24">
        <f>IF(VLOOKUP(AN6,Hoja1!$F$2:$J$61,3,FALSE)&lt;&gt;0,VLOOKUP(AN6,Hoja1!$F$2:$J$61,3,FALSE),"")</f>
        <v/>
      </c>
      <c r="AO8" s="24">
        <f>IF(VLOOKUP(AO6,Hoja1!$F$2:$J$61,3,FALSE)&lt;&gt;0,VLOOKUP(AO6,Hoja1!$F$2:$J$61,3,FALSE),"")</f>
        <v/>
      </c>
      <c r="AP8" s="24">
        <f>IF(VLOOKUP(AP6,Hoja1!$F$2:$J$61,3,FALSE)&lt;&gt;0,VLOOKUP(AP6,Hoja1!$F$2:$J$61,3,FALSE),"")</f>
        <v/>
      </c>
      <c r="AQ8" s="24">
        <f>IF(VLOOKUP(AQ6,Hoja1!$F$2:$J$61,3,FALSE)&lt;&gt;0,VLOOKUP(AQ6,Hoja1!$F$2:$J$61,3,FALSE),"")</f>
        <v/>
      </c>
      <c r="AR8" s="24">
        <f>IF(VLOOKUP(AR6,Hoja1!$F$2:$J$61,3,FALSE)&lt;&gt;0,VLOOKUP(AR6,Hoja1!$F$2:$J$61,3,FALSE),"")</f>
        <v/>
      </c>
      <c r="AS8" s="24">
        <f>IF(VLOOKUP(AS6,Hoja1!$F$2:$J$61,3,FALSE)&lt;&gt;0,VLOOKUP(AS6,Hoja1!$F$2:$J$61,3,FALSE),"")</f>
        <v/>
      </c>
      <c r="AT8" s="24">
        <f>IF(VLOOKUP(AT6,Hoja1!$F$2:$J$61,3,FALSE)&lt;&gt;0,VLOOKUP(AT6,Hoja1!$F$2:$J$61,3,FALSE),"")</f>
        <v/>
      </c>
      <c r="AU8" s="24">
        <f>IF(VLOOKUP(AU6,Hoja1!$F$2:$J$61,3,FALSE)&lt;&gt;0,VLOOKUP(AU6,Hoja1!$F$2:$J$61,3,FALSE),"")</f>
        <v/>
      </c>
      <c r="AV8" s="24">
        <f>IF(VLOOKUP(AV6,Hoja1!$F$2:$J$61,3,FALSE)&lt;&gt;0,VLOOKUP(AV6,Hoja1!$F$2:$J$61,3,FALSE),"")</f>
        <v/>
      </c>
      <c r="AW8" s="24">
        <f>IF(VLOOKUP(AW6,Hoja1!$F$2:$J$61,3,FALSE)&lt;&gt;0,VLOOKUP(AW6,Hoja1!$F$2:$J$61,3,FALSE),"")</f>
        <v/>
      </c>
      <c r="AX8" s="24">
        <f>IF(VLOOKUP(AX6,Hoja1!$F$2:$J$61,3,FALSE)&lt;&gt;0,VLOOKUP(AX6,Hoja1!$F$2:$J$61,3,FALSE),"")</f>
        <v/>
      </c>
      <c r="AY8" s="24">
        <f>IF(VLOOKUP(AY6,Hoja1!$F$2:$J$61,3,FALSE)&lt;&gt;0,VLOOKUP(AY6,Hoja1!$F$2:$J$61,3,FALSE),"")</f>
        <v/>
      </c>
      <c r="AZ8" s="24">
        <f>IF(VLOOKUP(AZ6,Hoja1!$F$2:$J$61,3,FALSE)&lt;&gt;0,VLOOKUP(AZ6,Hoja1!$F$2:$J$61,3,FALSE),"")</f>
        <v/>
      </c>
      <c r="BA8" s="24">
        <f>IF(VLOOKUP(BA6,Hoja1!$F$2:$J$61,3,FALSE)&lt;&gt;0,VLOOKUP(BA6,Hoja1!$F$2:$J$61,3,FALSE),"")</f>
        <v/>
      </c>
      <c r="BB8" s="24">
        <f>IF(VLOOKUP(BB6,Hoja1!$F$2:$J$61,3,FALSE)&lt;&gt;0,VLOOKUP(BB6,Hoja1!$F$2:$J$61,3,FALSE),"")</f>
        <v/>
      </c>
      <c r="BC8" s="24">
        <f>IF(VLOOKUP(BC6,Hoja1!$F$2:$J$61,3,FALSE)&lt;&gt;0,VLOOKUP(BC6,Hoja1!$F$2:$J$61,3,FALSE),"")</f>
        <v/>
      </c>
      <c r="BD8" s="24">
        <f>IF(VLOOKUP(BD6,Hoja1!$F$2:$J$61,3,FALSE)&lt;&gt;0,VLOOKUP(BD6,Hoja1!$F$2:$J$61,3,FALSE),"")</f>
        <v/>
      </c>
      <c r="BE8" s="24">
        <f>IF(VLOOKUP(BE6,Hoja1!$F$2:$J$61,3,FALSE)&lt;&gt;0,VLOOKUP(BE6,Hoja1!$F$2:$J$61,3,FALSE),"")</f>
        <v/>
      </c>
      <c r="BF8" s="24">
        <f>IF(VLOOKUP(BF6,Hoja1!$F$2:$J$61,3,FALSE)&lt;&gt;0,VLOOKUP(BF6,Hoja1!$F$2:$J$61,3,FALSE),"")</f>
        <v/>
      </c>
      <c r="BG8" s="24">
        <f>IF(VLOOKUP(BG6,Hoja1!$F$2:$J$61,3,FALSE)&lt;&gt;0,VLOOKUP(BG6,Hoja1!$F$2:$J$61,3,FALSE),"")</f>
        <v/>
      </c>
      <c r="BH8" s="24">
        <f>IF(VLOOKUP(BH6,Hoja1!$F$2:$J$61,3,FALSE)&lt;&gt;0,VLOOKUP(BH6,Hoja1!$F$2:$J$61,3,FALSE),"")</f>
        <v/>
      </c>
      <c r="BI8" s="24">
        <f>IF(VLOOKUP(BI6,Hoja1!$F$2:$J$61,3,FALSE)&lt;&gt;0,VLOOKUP(BI6,Hoja1!$F$2:$J$61,3,FALSE),"")</f>
        <v/>
      </c>
      <c r="BJ8" s="24">
        <f>IF(VLOOKUP(BJ6,Hoja1!$F$2:$J$61,3,FALSE)&lt;&gt;0,VLOOKUP(BJ6,Hoja1!$F$2:$J$61,3,FALSE),"")</f>
        <v/>
      </c>
      <c r="BK8" s="24">
        <f>IF(VLOOKUP(BK6,Hoja1!$F$2:$J$61,3,FALSE)&lt;&gt;0,VLOOKUP(BK6,Hoja1!$F$2:$J$61,3,FALSE),"")</f>
        <v/>
      </c>
      <c r="BL8" s="24">
        <f>IF(VLOOKUP(BL6,Hoja1!$F$2:$J$61,3,FALSE)&lt;&gt;0,VLOOKUP(BL6,Hoja1!$F$2:$J$61,3,FALSE),"")</f>
        <v/>
      </c>
      <c r="BM8" s="9" t="n"/>
      <c r="BN8" s="9" t="n"/>
      <c r="BO8" s="9" t="n"/>
      <c r="BP8" s="9" t="n"/>
      <c r="BQ8" s="9" t="n"/>
      <c r="BR8" s="9" t="n"/>
      <c r="BS8" s="9" t="n"/>
      <c r="BT8" s="9" t="n"/>
      <c r="BU8" s="9" t="n"/>
      <c r="BV8" s="9" t="n"/>
      <c r="BW8" s="9" t="n"/>
      <c r="BX8" s="9" t="n"/>
      <c r="BY8" s="9" t="n"/>
      <c r="BZ8" s="9" t="n"/>
      <c r="CA8" s="9" t="n"/>
      <c r="CB8" s="9" t="n"/>
      <c r="CC8" s="9" t="n"/>
      <c r="CD8" s="9" t="n"/>
      <c r="CE8" s="9" t="n"/>
      <c r="CF8" s="9" t="n"/>
      <c r="CG8" s="9" t="n"/>
      <c r="CH8" s="9" t="n"/>
      <c r="CI8" s="9" t="n"/>
      <c r="CJ8" s="9" t="n"/>
      <c r="CK8" s="9" t="n"/>
      <c r="CL8" s="9" t="n"/>
      <c r="CM8" s="9" t="n"/>
      <c r="CN8" s="9" t="n"/>
      <c r="CO8" s="9" t="n"/>
      <c r="CP8" s="9" t="n"/>
      <c r="CQ8" s="9" t="n"/>
      <c r="CR8" s="9" t="n"/>
      <c r="CS8" s="9" t="n"/>
      <c r="CT8" s="9" t="n"/>
      <c r="CU8" s="9" t="n"/>
      <c r="CV8" s="9" t="n"/>
      <c r="CW8" s="9" t="n"/>
      <c r="CX8" s="9" t="n"/>
      <c r="CY8" s="9" t="n"/>
      <c r="CZ8" s="9" t="n"/>
      <c r="DA8" s="9" t="n"/>
      <c r="DB8" s="9" t="n"/>
      <c r="DC8" s="9" t="n"/>
      <c r="DD8" s="9" t="n"/>
      <c r="DE8" s="9" t="n"/>
      <c r="DF8" s="9" t="n"/>
      <c r="DG8" s="9" t="n"/>
      <c r="DH8" s="9" t="n"/>
      <c r="DI8" s="9" t="n"/>
      <c r="DJ8" s="9" t="n"/>
      <c r="DK8" s="9" t="n"/>
      <c r="DL8" s="9" t="n"/>
      <c r="DM8" s="9" t="n"/>
      <c r="DN8" s="9" t="n"/>
      <c r="DO8" s="9" t="n"/>
      <c r="DP8" s="9" t="n"/>
      <c r="DQ8" s="9" t="n"/>
      <c r="DR8" s="9" t="n"/>
      <c r="DS8" s="9" t="n"/>
      <c r="DT8" s="9" t="n"/>
      <c r="DU8" s="11" t="n"/>
      <c r="DV8" s="11" t="n"/>
    </row>
    <row r="9" ht="138.75" customHeight="1" thickBot="1">
      <c r="A9" s="44" t="inlineStr">
        <is>
          <t>N°</t>
        </is>
      </c>
      <c r="B9" s="43" t="inlineStr">
        <is>
          <t>NOMBRE</t>
        </is>
      </c>
      <c r="C9" s="45" t="inlineStr">
        <is>
          <t>RUT</t>
        </is>
      </c>
      <c r="D9" s="45" t="inlineStr">
        <is>
          <t>Grupo</t>
        </is>
      </c>
      <c r="E9" s="40">
        <f>IF(VLOOKUP(E6,Hoja1!$F$2:$J$61,2,FALSE)&lt;&gt;0,VLOOKUP(E6,Hoja1!$F$2:$J$61,2,FALSE),"")</f>
        <v/>
      </c>
      <c r="F9" s="40">
        <f>IF(VLOOKUP(F6,Hoja1!$F$2:$J$61,2,FALSE)&lt;&gt;0,VLOOKUP(F6,Hoja1!$F$2:$J$61,2,FALSE),"")</f>
        <v/>
      </c>
      <c r="G9" s="40">
        <f>IF(VLOOKUP(G6,Hoja1!$F$2:$J$61,2,FALSE)&lt;&gt;0,VLOOKUP(G6,Hoja1!$F$2:$J$61,2,FALSE),"")</f>
        <v/>
      </c>
      <c r="H9" s="40">
        <f>IF(VLOOKUP(H6,Hoja1!$F$2:$J$61,2,FALSE)&lt;&gt;0,VLOOKUP(H6,Hoja1!$F$2:$J$61,2,FALSE),"")</f>
        <v/>
      </c>
      <c r="I9" s="40">
        <f>IF(VLOOKUP(I6,Hoja1!$F$2:$J$61,2,FALSE)&lt;&gt;0,VLOOKUP(I6,Hoja1!$F$2:$J$61,2,FALSE),"")</f>
        <v/>
      </c>
      <c r="J9" s="40">
        <f>IF(VLOOKUP(J6,Hoja1!$F$2:$J$61,2,FALSE)&lt;&gt;0,VLOOKUP(J6,Hoja1!$F$2:$J$61,2,FALSE),"")</f>
        <v/>
      </c>
      <c r="K9" s="40">
        <f>IF(VLOOKUP(K6,Hoja1!$F$2:$J$61,2,FALSE)&lt;&gt;0,VLOOKUP(K6,Hoja1!$F$2:$J$61,2,FALSE),"")</f>
        <v/>
      </c>
      <c r="L9" s="40">
        <f>IF(VLOOKUP(L6,Hoja1!$F$2:$J$61,2,FALSE)&lt;&gt;0,VLOOKUP(L6,Hoja1!$F$2:$J$61,2,FALSE),"")</f>
        <v/>
      </c>
      <c r="M9" s="40">
        <f>IF(VLOOKUP(M6,Hoja1!$F$2:$J$61,2,FALSE)&lt;&gt;0,VLOOKUP(M6,Hoja1!$F$2:$J$61,2,FALSE),"")</f>
        <v/>
      </c>
      <c r="N9" s="40">
        <f>IF(VLOOKUP(N6,Hoja1!$F$2:$J$61,2,FALSE)&lt;&gt;0,VLOOKUP(N6,Hoja1!$F$2:$J$61,2,FALSE),"")</f>
        <v/>
      </c>
      <c r="O9" s="40">
        <f>IF(VLOOKUP(O6,Hoja1!$F$2:$J$61,2,FALSE)&lt;&gt;0,VLOOKUP(O6,Hoja1!$F$2:$J$61,2,FALSE),"")</f>
        <v/>
      </c>
      <c r="P9" s="40">
        <f>IF(VLOOKUP(P6,Hoja1!$F$2:$J$61,2,FALSE)&lt;&gt;0,VLOOKUP(P6,Hoja1!$F$2:$J$61,2,FALSE),"")</f>
        <v/>
      </c>
      <c r="Q9" s="40">
        <f>IF(VLOOKUP(Q6,Hoja1!$F$2:$J$61,2,FALSE)&lt;&gt;0,VLOOKUP(Q6,Hoja1!$F$2:$J$61,2,FALSE),"")</f>
        <v/>
      </c>
      <c r="R9" s="40">
        <f>IF(VLOOKUP(R6,Hoja1!$F$2:$J$61,2,FALSE)&lt;&gt;0,VLOOKUP(R6,Hoja1!$F$2:$J$61,2,FALSE),"")</f>
        <v/>
      </c>
      <c r="S9" s="40">
        <f>IF(VLOOKUP(S6,Hoja1!$F$2:$J$61,2,FALSE)&lt;&gt;0,VLOOKUP(S6,Hoja1!$F$2:$J$61,2,FALSE),"")</f>
        <v/>
      </c>
      <c r="T9" s="40">
        <f>IF(VLOOKUP(T6,Hoja1!$F$2:$J$61,2,FALSE)&lt;&gt;0,VLOOKUP(T6,Hoja1!$F$2:$J$61,2,FALSE),"")</f>
        <v/>
      </c>
      <c r="U9" s="40">
        <f>IF(VLOOKUP(U6,Hoja1!$F$2:$J$61,2,FALSE)&lt;&gt;0,VLOOKUP(U6,Hoja1!$F$2:$J$61,2,FALSE),"")</f>
        <v/>
      </c>
      <c r="V9" s="40">
        <f>IF(VLOOKUP(V6,Hoja1!$F$2:$J$61,2,FALSE)&lt;&gt;0,VLOOKUP(V6,Hoja1!$F$2:$J$61,2,FALSE),"")</f>
        <v/>
      </c>
      <c r="W9" s="40">
        <f>IF(VLOOKUP(W6,Hoja1!$F$2:$J$61,2,FALSE)&lt;&gt;0,VLOOKUP(W6,Hoja1!$F$2:$J$61,2,FALSE),"")</f>
        <v/>
      </c>
      <c r="X9" s="40">
        <f>IF(VLOOKUP(X6,Hoja1!$F$2:$J$61,2,FALSE)&lt;&gt;0,VLOOKUP(X6,Hoja1!$F$2:$J$61,2,FALSE),"")</f>
        <v/>
      </c>
      <c r="Y9" s="40">
        <f>IF(VLOOKUP(Y6,Hoja1!$F$2:$J$61,2,FALSE)&lt;&gt;0,VLOOKUP(Y6,Hoja1!$F$2:$J$61,2,FALSE),"")</f>
        <v/>
      </c>
      <c r="Z9" s="40">
        <f>IF(VLOOKUP(Z6,Hoja1!$F$2:$J$61,2,FALSE)&lt;&gt;0,VLOOKUP(Z6,Hoja1!$F$2:$J$61,2,FALSE),"")</f>
        <v/>
      </c>
      <c r="AA9" s="40">
        <f>IF(VLOOKUP(AA6,Hoja1!$F$2:$J$61,2,FALSE)&lt;&gt;0,VLOOKUP(AA6,Hoja1!$F$2:$J$61,2,FALSE),"")</f>
        <v/>
      </c>
      <c r="AB9" s="40">
        <f>IF(VLOOKUP(AB6,Hoja1!$F$2:$J$61,2,FALSE)&lt;&gt;0,VLOOKUP(AB6,Hoja1!$F$2:$J$61,2,FALSE),"")</f>
        <v/>
      </c>
      <c r="AC9" s="40">
        <f>IF(VLOOKUP(AC6,Hoja1!$F$2:$J$61,2,FALSE)&lt;&gt;0,VLOOKUP(AC6,Hoja1!$F$2:$J$61,2,FALSE),"")</f>
        <v/>
      </c>
      <c r="AD9" s="40">
        <f>IF(VLOOKUP(AD6,Hoja1!$F$2:$J$61,2,FALSE)&lt;&gt;0,VLOOKUP(AD6,Hoja1!$F$2:$J$61,2,FALSE),"")</f>
        <v/>
      </c>
      <c r="AE9" s="40">
        <f>IF(VLOOKUP(AE6,Hoja1!$F$2:$J$61,2,FALSE)&lt;&gt;0,VLOOKUP(AE6,Hoja1!$F$2:$J$61,2,FALSE),"")</f>
        <v/>
      </c>
      <c r="AF9" s="40">
        <f>IF(VLOOKUP(AF6,Hoja1!$F$2:$J$61,2,FALSE)&lt;&gt;0,VLOOKUP(AF6,Hoja1!$F$2:$J$61,2,FALSE),"")</f>
        <v/>
      </c>
      <c r="AG9" s="40">
        <f>IF(VLOOKUP(AG6,Hoja1!$F$2:$J$61,2,FALSE)&lt;&gt;0,VLOOKUP(AG6,Hoja1!$F$2:$J$61,2,FALSE),"")</f>
        <v/>
      </c>
      <c r="AH9" s="40">
        <f>IF(VLOOKUP(AH6,Hoja1!$F$2:$J$61,2,FALSE)&lt;&gt;0,VLOOKUP(AH6,Hoja1!$F$2:$J$61,2,FALSE),"")</f>
        <v/>
      </c>
      <c r="AI9" s="40">
        <f>IF(VLOOKUP(AI6,Hoja1!$F$2:$J$61,2,FALSE)&lt;&gt;0,VLOOKUP(AI6,Hoja1!$F$2:$J$61,2,FALSE),"")</f>
        <v/>
      </c>
      <c r="AJ9" s="40">
        <f>IF(VLOOKUP(AJ6,Hoja1!$F$2:$J$61,2,FALSE)&lt;&gt;0,VLOOKUP(AJ6,Hoja1!$F$2:$J$61,2,FALSE),"")</f>
        <v/>
      </c>
      <c r="AK9" s="40" t="n"/>
      <c r="AL9" s="40">
        <f>IF(VLOOKUP(AL6,Hoja1!$F$2:$J$61,2,FALSE)&lt;&gt;0,VLOOKUP(AL6,Hoja1!$F$2:$J$61,2,FALSE),"")</f>
        <v/>
      </c>
      <c r="AM9" s="40">
        <f>IF(VLOOKUP(AM6,Hoja1!$F$2:$J$61,2,FALSE)&lt;&gt;0,VLOOKUP(AM6,Hoja1!$F$2:$J$61,2,FALSE),"")</f>
        <v/>
      </c>
      <c r="AN9" s="40">
        <f>IF(VLOOKUP(AN6,Hoja1!$F$2:$J$61,2,FALSE)&lt;&gt;0,VLOOKUP(AN6,Hoja1!$F$2:$J$61,2,FALSE),"")</f>
        <v/>
      </c>
      <c r="AO9" s="40">
        <f>IF(VLOOKUP(AO6,Hoja1!$F$2:$J$61,2,FALSE)&lt;&gt;0,VLOOKUP(AO6,Hoja1!$F$2:$J$61,2,FALSE),"")</f>
        <v/>
      </c>
      <c r="AP9" s="40">
        <f>IF(VLOOKUP(AP6,Hoja1!$F$2:$J$61,2,FALSE)&lt;&gt;0,VLOOKUP(AP6,Hoja1!$F$2:$J$61,2,FALSE),"")</f>
        <v/>
      </c>
      <c r="AQ9" s="40">
        <f>IF(VLOOKUP(AQ6,Hoja1!$F$2:$J$61,2,FALSE)&lt;&gt;0,VLOOKUP(AQ6,Hoja1!$F$2:$J$61,2,FALSE),"")</f>
        <v/>
      </c>
      <c r="AR9" s="40">
        <f>IF(VLOOKUP(AR6,Hoja1!$F$2:$J$61,2,FALSE)&lt;&gt;0,VLOOKUP(AR6,Hoja1!$F$2:$J$61,2,FALSE),"")</f>
        <v/>
      </c>
      <c r="AS9" s="40">
        <f>IF(VLOOKUP(AS6,Hoja1!$F$2:$J$61,2,FALSE)&lt;&gt;0,VLOOKUP(AS6,Hoja1!$F$2:$J$61,2,FALSE),"")</f>
        <v/>
      </c>
      <c r="AT9" s="40">
        <f>IF(VLOOKUP(AT6,Hoja1!$F$2:$J$61,2,FALSE)&lt;&gt;0,VLOOKUP(AT6,Hoja1!$F$2:$J$61,2,FALSE),"")</f>
        <v/>
      </c>
      <c r="AU9" s="40">
        <f>IF(VLOOKUP(AU6,Hoja1!$F$2:$J$61,2,FALSE)&lt;&gt;0,VLOOKUP(AU6,Hoja1!$F$2:$J$61,2,FALSE),"")</f>
        <v/>
      </c>
      <c r="AV9" s="40">
        <f>IF(VLOOKUP(AV6,Hoja1!$F$2:$J$61,2,FALSE)&lt;&gt;0,VLOOKUP(AV6,Hoja1!$F$2:$J$61,2,FALSE),"")</f>
        <v/>
      </c>
      <c r="AW9" s="40">
        <f>IF(VLOOKUP(AW6,Hoja1!$F$2:$J$61,2,FALSE)&lt;&gt;0,VLOOKUP(AW6,Hoja1!$F$2:$J$61,2,FALSE),"")</f>
        <v/>
      </c>
      <c r="AX9" s="40">
        <f>IF(VLOOKUP(AX6,Hoja1!$F$2:$J$61,2,FALSE)&lt;&gt;0,VLOOKUP(AX6,Hoja1!$F$2:$J$61,2,FALSE),"")</f>
        <v/>
      </c>
      <c r="AY9" s="40">
        <f>IF(VLOOKUP(AY6,Hoja1!$F$2:$J$61,2,FALSE)&lt;&gt;0,VLOOKUP(AY6,Hoja1!$F$2:$J$61,2,FALSE),"")</f>
        <v/>
      </c>
      <c r="AZ9" s="40">
        <f>IF(VLOOKUP(AZ6,Hoja1!$F$2:$J$61,2,FALSE)&lt;&gt;0,VLOOKUP(AZ6,Hoja1!$F$2:$J$61,2,FALSE),"")</f>
        <v/>
      </c>
      <c r="BA9" s="40">
        <f>IF(VLOOKUP(BA6,Hoja1!$F$2:$J$61,2,FALSE)&lt;&gt;0,VLOOKUP(BA6,Hoja1!$F$2:$J$61,2,FALSE),"")</f>
        <v/>
      </c>
      <c r="BB9" s="40">
        <f>IF(VLOOKUP(BB6,Hoja1!$F$2:$J$61,2,FALSE)&lt;&gt;0,VLOOKUP(BB6,Hoja1!$F$2:$J$61,2,FALSE),"")</f>
        <v/>
      </c>
      <c r="BC9" s="40">
        <f>IF(VLOOKUP(BC6,Hoja1!$F$2:$J$61,2,FALSE)&lt;&gt;0,VLOOKUP(BC6,Hoja1!$F$2:$J$61,2,FALSE),"")</f>
        <v/>
      </c>
      <c r="BD9" s="40">
        <f>IF(VLOOKUP(BD6,Hoja1!$F$2:$J$61,2,FALSE)&lt;&gt;0,VLOOKUP(BD6,Hoja1!$F$2:$J$61,2,FALSE),"")</f>
        <v/>
      </c>
      <c r="BE9" s="40">
        <f>IF(VLOOKUP(BE6,Hoja1!$F$2:$J$61,2,FALSE)&lt;&gt;0,VLOOKUP(BE6,Hoja1!$F$2:$J$61,2,FALSE),"")</f>
        <v/>
      </c>
      <c r="BF9" s="40">
        <f>IF(VLOOKUP(BF6,Hoja1!$F$2:$J$61,2,FALSE)&lt;&gt;0,VLOOKUP(BF6,Hoja1!$F$2:$J$61,2,FALSE),"")</f>
        <v/>
      </c>
      <c r="BG9" s="40">
        <f>IF(VLOOKUP(BG6,Hoja1!$F$2:$J$61,2,FALSE)&lt;&gt;0,VLOOKUP(BG6,Hoja1!$F$2:$J$61,2,FALSE),"")</f>
        <v/>
      </c>
      <c r="BH9" s="40">
        <f>IF(VLOOKUP(BH6,Hoja1!$F$2:$J$61,2,FALSE)&lt;&gt;0,VLOOKUP(BH6,Hoja1!$F$2:$J$61,2,FALSE),"")</f>
        <v/>
      </c>
      <c r="BI9" s="40">
        <f>IF(VLOOKUP(BI6,Hoja1!$F$2:$J$61,2,FALSE)&lt;&gt;0,VLOOKUP(BI6,Hoja1!$F$2:$J$61,2,FALSE),"")</f>
        <v/>
      </c>
      <c r="BJ9" s="40">
        <f>IF(VLOOKUP(BJ6,Hoja1!$F$2:$J$61,2,FALSE)&lt;&gt;0,VLOOKUP(BJ6,Hoja1!$F$2:$J$61,2,FALSE),"")</f>
        <v/>
      </c>
      <c r="BK9" s="40">
        <f>IF(VLOOKUP(BK6,Hoja1!$F$2:$J$61,2,FALSE)&lt;&gt;0,VLOOKUP(BK6,Hoja1!$F$2:$J$61,2,FALSE),"")</f>
        <v/>
      </c>
      <c r="BL9" s="40" t="n"/>
      <c r="BM9" s="12" t="n"/>
      <c r="BN9" s="12" t="n"/>
      <c r="BO9" s="12" t="n"/>
      <c r="BP9" s="12" t="n"/>
      <c r="BQ9" s="12" t="n"/>
      <c r="BR9" s="12" t="n"/>
      <c r="BS9" s="12" t="n"/>
      <c r="BT9" s="12" t="n"/>
      <c r="BU9" s="12" t="n"/>
      <c r="BV9" s="12" t="n"/>
      <c r="BW9" s="12" t="n"/>
      <c r="BX9" s="12" t="n"/>
      <c r="BY9" s="12" t="n"/>
      <c r="BZ9" s="12" t="n"/>
      <c r="CA9" s="12" t="n"/>
      <c r="CB9" s="12" t="n"/>
      <c r="CC9" s="12" t="n"/>
      <c r="CD9" s="12" t="n"/>
      <c r="CE9" s="12" t="n"/>
      <c r="CF9" s="12" t="n"/>
      <c r="CG9" s="12" t="n"/>
      <c r="CH9" s="12" t="n"/>
      <c r="CI9" s="12" t="n"/>
      <c r="CJ9" s="12" t="n"/>
      <c r="CK9" s="12" t="n"/>
      <c r="CL9" s="12" t="n"/>
      <c r="CM9" s="12" t="n"/>
      <c r="CN9" s="12" t="n"/>
      <c r="CO9" s="12" t="n"/>
      <c r="CP9" s="12" t="n"/>
      <c r="CQ9" s="12" t="n"/>
      <c r="CR9" s="12" t="n"/>
      <c r="CS9" s="12" t="n"/>
      <c r="CT9" s="12" t="n"/>
      <c r="CU9" s="12" t="n"/>
      <c r="CV9" s="12" t="n"/>
      <c r="CW9" s="12" t="n"/>
      <c r="CX9" s="12" t="n"/>
      <c r="CY9" s="12" t="n"/>
      <c r="CZ9" s="12" t="n"/>
      <c r="DA9" s="12" t="n"/>
      <c r="DB9" s="12" t="n"/>
      <c r="DC9" s="12" t="n"/>
      <c r="DD9" s="12" t="n"/>
      <c r="DE9" s="12" t="n"/>
      <c r="DF9" s="12" t="n"/>
      <c r="DG9" s="12" t="n"/>
      <c r="DH9" s="12" t="n"/>
      <c r="DI9" s="12" t="n"/>
      <c r="DJ9" s="12" t="n"/>
      <c r="DK9" s="12" t="n"/>
      <c r="DL9" s="12" t="n"/>
      <c r="DM9" s="12" t="n"/>
      <c r="DN9" s="12" t="n"/>
      <c r="DO9" s="12" t="n"/>
      <c r="DP9" s="12" t="n"/>
      <c r="DQ9" s="12" t="n"/>
      <c r="DR9" s="12" t="n"/>
      <c r="DS9" s="12" t="n"/>
      <c r="DT9" s="12" t="n"/>
      <c r="DU9" s="20" t="inlineStr">
        <is>
          <t>Puntaje</t>
        </is>
      </c>
      <c r="DV9" s="21" t="inlineStr">
        <is>
          <t>Nota</t>
        </is>
      </c>
      <c r="DW9" s="46" t="inlineStr">
        <is>
          <t>Reproceso</t>
        </is>
      </c>
    </row>
    <row r="10" ht="23.25" customHeight="1">
      <c r="A10" s="13" t="n">
        <v>1</v>
      </c>
      <c r="B10" s="14" t="inlineStr">
        <is>
          <t>ALARCON LOPEZ SCARLETT ALEXANDRA</t>
        </is>
      </c>
      <c r="C10" s="14" t="inlineStr">
        <is>
          <t>190882330</t>
        </is>
      </c>
      <c r="D10" s="1" t="n"/>
      <c r="E10" s="25" t="n"/>
      <c r="F10" s="26" t="n"/>
      <c r="G10" s="26" t="n"/>
      <c r="H10" s="26" t="n"/>
      <c r="I10" s="26" t="n"/>
      <c r="J10" s="26" t="n"/>
      <c r="K10" s="26" t="n"/>
      <c r="L10" s="26" t="n"/>
      <c r="M10" s="26" t="n"/>
      <c r="N10" s="26" t="n"/>
      <c r="O10" s="26" t="n"/>
      <c r="P10" s="26" t="n"/>
      <c r="Q10" s="26" t="n"/>
      <c r="R10" s="26" t="n"/>
      <c r="S10" s="26" t="n"/>
      <c r="T10" s="26" t="n"/>
      <c r="U10" s="26" t="n"/>
      <c r="V10" s="26" t="n"/>
      <c r="W10" s="26" t="n"/>
      <c r="X10" s="26" t="n"/>
      <c r="Y10" s="26" t="n"/>
      <c r="Z10" s="26" t="n"/>
      <c r="AA10" s="26" t="n"/>
      <c r="AB10" s="26" t="n"/>
      <c r="AC10" s="26" t="n"/>
      <c r="AD10" s="26" t="n"/>
      <c r="AE10" s="26" t="n"/>
      <c r="AF10" s="26" t="n"/>
      <c r="AG10" s="26" t="n"/>
      <c r="AH10" s="26" t="n"/>
      <c r="AI10" s="26" t="n"/>
      <c r="AJ10" s="26" t="n"/>
      <c r="AK10" s="26" t="n"/>
      <c r="AL10" s="26" t="n"/>
      <c r="AM10" s="26" t="n"/>
      <c r="AN10" s="26" t="n"/>
      <c r="AO10" s="26" t="n"/>
      <c r="AP10" s="26" t="n"/>
      <c r="AQ10" s="26" t="n"/>
      <c r="AR10" s="26" t="n"/>
      <c r="AS10" s="26" t="n"/>
      <c r="AT10" s="26" t="n"/>
      <c r="AU10" s="26" t="n"/>
      <c r="AV10" s="26" t="n"/>
      <c r="AW10" s="26" t="n"/>
      <c r="AX10" s="26" t="n"/>
      <c r="AY10" s="26" t="n"/>
      <c r="AZ10" s="26" t="n"/>
      <c r="BA10" s="26" t="n"/>
      <c r="BB10" s="26" t="n"/>
      <c r="BC10" s="26" t="n"/>
      <c r="BD10" s="26" t="n"/>
      <c r="BE10" s="26" t="n"/>
      <c r="BF10" s="26" t="n"/>
      <c r="BG10" s="26" t="n"/>
      <c r="BH10" s="26" t="n"/>
      <c r="BI10" s="26" t="n"/>
      <c r="BJ10" s="26" t="n"/>
      <c r="BK10" s="26" t="n"/>
      <c r="BL10" s="27" t="n"/>
      <c r="BM10">
        <f>IFERROR(VLOOKUP(BM$6,Hoja1!$F$2:$XFD$61,E10+4,FALSE),0)</f>
        <v/>
      </c>
      <c r="BN10">
        <f>IFERROR(VLOOKUP(BN$6,Hoja1!$F$2:$XFD$61,F10+4,FALSE),0)</f>
        <v/>
      </c>
      <c r="BO10">
        <f>IFERROR(VLOOKUP(BO$6,Hoja1!$F$2:$XFD$61,G10+4,FALSE),0)</f>
        <v/>
      </c>
      <c r="BP10">
        <f>IFERROR(VLOOKUP(BP$6,Hoja1!$F$2:$XFD$61,H10+4,FALSE),0)</f>
        <v/>
      </c>
      <c r="BQ10">
        <f>IFERROR(VLOOKUP(BQ$6,Hoja1!$F$2:$XFD$61,I10+4,FALSE),0)</f>
        <v/>
      </c>
      <c r="BR10">
        <f>IFERROR(VLOOKUP(BR$6,Hoja1!$F$2:$XFD$61,J10+4,FALSE),0)</f>
        <v/>
      </c>
      <c r="BS10">
        <f>IFERROR(VLOOKUP(BS$6,Hoja1!$F$2:$XFD$61,K10+4,FALSE),0)</f>
        <v/>
      </c>
      <c r="BT10">
        <f>IFERROR(VLOOKUP(BT$6,Hoja1!$F$2:$XFD$61,L10+4,FALSE),0)</f>
        <v/>
      </c>
      <c r="BU10">
        <f>IFERROR(VLOOKUP(BU$6,Hoja1!$F$2:$XFD$61,M10+4,FALSE),0)</f>
        <v/>
      </c>
      <c r="BV10">
        <f>IFERROR(VLOOKUP(BV$6,Hoja1!$F$2:$XFD$61,N10+4,FALSE),0)</f>
        <v/>
      </c>
      <c r="BW10">
        <f>IFERROR(VLOOKUP(BW$6,Hoja1!$F$2:$XFD$61,O10+4,FALSE),0)</f>
        <v/>
      </c>
      <c r="BX10">
        <f>IFERROR(VLOOKUP(BX$6,Hoja1!$F$2:$XFD$61,P10+4,FALSE),0)</f>
        <v/>
      </c>
      <c r="BY10">
        <f>IFERROR(VLOOKUP(BY$6,Hoja1!$F$2:$XFD$61,Q10+4,FALSE),0)</f>
        <v/>
      </c>
      <c r="BZ10">
        <f>IFERROR(VLOOKUP(BZ$6,Hoja1!$F$2:$XFD$61,R10+4,FALSE),0)</f>
        <v/>
      </c>
      <c r="CA10">
        <f>IFERROR(VLOOKUP(CA$6,Hoja1!$F$2:$XFD$61,S10+4,FALSE),0)</f>
        <v/>
      </c>
      <c r="CB10">
        <f>IFERROR(VLOOKUP(CB$6,Hoja1!$F$2:$XFD$61,T10+4,FALSE),0)</f>
        <v/>
      </c>
      <c r="CC10">
        <f>IFERROR(VLOOKUP(CC$6,Hoja1!$F$2:$XFD$61,U10+4,FALSE),0)</f>
        <v/>
      </c>
      <c r="CD10">
        <f>IFERROR(VLOOKUP(CD$6,Hoja1!$F$2:$XFD$61,V10+4,FALSE),0)</f>
        <v/>
      </c>
      <c r="CE10">
        <f>IFERROR(VLOOKUP(CE$6,Hoja1!$F$2:$XFD$61,W10+4,FALSE),0)</f>
        <v/>
      </c>
      <c r="CF10">
        <f>IFERROR(VLOOKUP(CF$6,Hoja1!$F$2:$XFD$61,X10+4,FALSE),0)</f>
        <v/>
      </c>
      <c r="CG10">
        <f>IFERROR(VLOOKUP(CG$6,Hoja1!$F$2:$XFD$61,Y10+4,FALSE),0)</f>
        <v/>
      </c>
      <c r="CH10">
        <f>IFERROR(VLOOKUP(CH$6,Hoja1!$F$2:$XFD$61,Z10+4,FALSE),0)</f>
        <v/>
      </c>
      <c r="CI10">
        <f>IFERROR(VLOOKUP(CI$6,Hoja1!$F$2:$XFD$61,AA10+4,FALSE),0)</f>
        <v/>
      </c>
      <c r="CJ10">
        <f>IFERROR(VLOOKUP(CJ$6,Hoja1!$F$2:$XFD$61,AB10+4,FALSE),0)</f>
        <v/>
      </c>
      <c r="CK10">
        <f>IFERROR(VLOOKUP(CK$6,Hoja1!$F$2:$XFD$61,AC10+4,FALSE),0)</f>
        <v/>
      </c>
      <c r="CL10">
        <f>IFERROR(VLOOKUP(CL$6,Hoja1!$F$2:$XFD$61,AD10+4,FALSE),0)</f>
        <v/>
      </c>
      <c r="CM10">
        <f>IFERROR(VLOOKUP(CM$6,Hoja1!$F$2:$XFD$61,AE10+4,FALSE),0)</f>
        <v/>
      </c>
      <c r="CN10">
        <f>IFERROR(VLOOKUP(CN$6,Hoja1!$F$2:$XFD$61,AF10+4,FALSE),0)</f>
        <v/>
      </c>
      <c r="CO10">
        <f>IFERROR(VLOOKUP(CO$6,Hoja1!$F$2:$XFD$61,AG10+4,FALSE),0)</f>
        <v/>
      </c>
      <c r="CP10">
        <f>IFERROR(VLOOKUP(CP$6,Hoja1!$F$2:$XFD$61,AH10+4,FALSE),0)</f>
        <v/>
      </c>
      <c r="CQ10">
        <f>IFERROR(VLOOKUP(CQ$6,Hoja1!$F$2:$XFD$61,AI10+4,FALSE),0)</f>
        <v/>
      </c>
      <c r="CR10">
        <f>IFERROR(VLOOKUP(CR$6,Hoja1!$F$2:$XFD$61,AJ10+4,FALSE),0)</f>
        <v/>
      </c>
      <c r="CS10">
        <f>IFERROR(VLOOKUP(CS$6,Hoja1!$F$2:$XFD$61,AK10+4,FALSE),0)</f>
        <v/>
      </c>
      <c r="CT10">
        <f>IFERROR(VLOOKUP(CT$6,Hoja1!$F$2:$XFD$61,AL10+4,FALSE),0)</f>
        <v/>
      </c>
      <c r="CU10">
        <f>IFERROR(VLOOKUP(CU$6,Hoja1!$F$2:$XFD$61,AM10+4,FALSE),0)</f>
        <v/>
      </c>
      <c r="CV10">
        <f>IFERROR(VLOOKUP(CV$6,Hoja1!$F$2:$XFD$61,AN10+4,FALSE),0)</f>
        <v/>
      </c>
      <c r="CW10">
        <f>IFERROR(VLOOKUP(CW$6,Hoja1!$F$2:$XFD$61,AO10+4,FALSE),0)</f>
        <v/>
      </c>
      <c r="CX10">
        <f>IFERROR(VLOOKUP(CX$6,Hoja1!$F$2:$XFD$61,AP10+4,FALSE),0)</f>
        <v/>
      </c>
      <c r="CY10">
        <f>IFERROR(VLOOKUP(CY$6,Hoja1!$F$2:$XFD$61,AQ10+4,FALSE),0)</f>
        <v/>
      </c>
      <c r="CZ10">
        <f>IFERROR(VLOOKUP(CZ$6,Hoja1!$F$2:$XFD$61,AR10+4,FALSE),0)</f>
        <v/>
      </c>
      <c r="DA10">
        <f>IFERROR(VLOOKUP(DA$6,Hoja1!$F$2:$XFD$61,AS10+4,FALSE),0)</f>
        <v/>
      </c>
      <c r="DB10">
        <f>IFERROR(VLOOKUP(DB$6,Hoja1!$F$2:$XFD$61,AT10+4,FALSE),0)</f>
        <v/>
      </c>
      <c r="DC10">
        <f>IFERROR(VLOOKUP(DC$6,Hoja1!$F$2:$XFD$61,AU10+4,FALSE),0)</f>
        <v/>
      </c>
      <c r="DD10">
        <f>IFERROR(VLOOKUP(DD$6,Hoja1!$F$2:$XFD$61,AV10+4,FALSE),0)</f>
        <v/>
      </c>
      <c r="DE10">
        <f>IFERROR(VLOOKUP(DE$6,Hoja1!$F$2:$XFD$61,AW10+4,FALSE),0)</f>
        <v/>
      </c>
      <c r="DF10">
        <f>IFERROR(VLOOKUP(DF$6,Hoja1!$F$2:$XFD$61,AX10+4,FALSE),0)</f>
        <v/>
      </c>
      <c r="DG10">
        <f>IFERROR(VLOOKUP(DG$6,Hoja1!$F$2:$XFD$61,AY10+4,FALSE),0)</f>
        <v/>
      </c>
      <c r="DH10">
        <f>IFERROR(VLOOKUP(DH$6,Hoja1!$F$2:$XFD$61,AZ10+4,FALSE),0)</f>
        <v/>
      </c>
      <c r="DI10">
        <f>IFERROR(VLOOKUP(DI$6,Hoja1!$F$2:$XFD$61,BA10+4,FALSE),0)</f>
        <v/>
      </c>
      <c r="DJ10">
        <f>IFERROR(VLOOKUP(DJ$6,Hoja1!$F$2:$XFD$61,BB10+4,FALSE),0)</f>
        <v/>
      </c>
      <c r="DK10">
        <f>IFERROR(VLOOKUP(DK$6,Hoja1!$F$2:$XFD$61,BC10+4,FALSE),0)</f>
        <v/>
      </c>
      <c r="DL10">
        <f>IFERROR(VLOOKUP(DL$6,Hoja1!$F$2:$XFD$61,BD10+4,FALSE),0)</f>
        <v/>
      </c>
      <c r="DM10">
        <f>IFERROR(VLOOKUP(DM$6,Hoja1!$F$2:$XFD$61,BE10+4,FALSE),0)</f>
        <v/>
      </c>
      <c r="DN10">
        <f>IFERROR(VLOOKUP(DN$6,Hoja1!$F$2:$XFD$61,BF10+4,FALSE),0)</f>
        <v/>
      </c>
      <c r="DO10">
        <f>IFERROR(VLOOKUP(DO$6,Hoja1!$F$2:$XFD$61,BG10+4,FALSE),0)</f>
        <v/>
      </c>
      <c r="DP10">
        <f>IFERROR(VLOOKUP(DP$6,Hoja1!$F$2:$XFD$61,BH10+4,FALSE),0)</f>
        <v/>
      </c>
      <c r="DQ10">
        <f>IFERROR(VLOOKUP(DQ$6,Hoja1!$F$2:$XFD$61,BI10+4,FALSE),0)</f>
        <v/>
      </c>
      <c r="DR10">
        <f>IFERROR(VLOOKUP(DR$6,Hoja1!$F$2:$XFD$61,BJ10+4,FALSE),0)</f>
        <v/>
      </c>
      <c r="DS10">
        <f>IFERROR(VLOOKUP(DS$6,Hoja1!$F$2:$XFD$61,BK10+4,FALSE),0)</f>
        <v/>
      </c>
      <c r="DT10">
        <f>IFERROR(VLOOKUP(DT$6,Hoja1!$F$2:$XFD$61,BL10+4,FALSE),0)</f>
        <v/>
      </c>
      <c r="DU10" s="15">
        <f>IF(COUNT(E10:BL10)=$DV$7,IF(D10="","indique grupo",SUM(BM10:DT10)),"")</f>
        <v/>
      </c>
      <c r="DV10" s="16">
        <f>IF(D10&lt;&gt;"",IF(DU10="","",IF(DU10&gt;=$DU$7*Hoja1!$E$2,4+3/($DU$7*(1-Hoja1!$E$2))*(DU10-$DU$7*Hoja1!$E$2),1+3/($DU$7*Hoja1!$E$2)*DU10)),DU10)</f>
        <v/>
      </c>
      <c r="DW10" s="49" t="b">
        <v>0</v>
      </c>
    </row>
    <row r="11" ht="23.25" customHeight="1">
      <c r="A11" s="17" t="n">
        <v>2</v>
      </c>
      <c r="B11" s="18" t="inlineStr">
        <is>
          <t>ARIAS REBOLLEDO DANIEL IGNACIO</t>
        </is>
      </c>
      <c r="C11" s="18" t="inlineStr">
        <is>
          <t>20125552K</t>
        </is>
      </c>
      <c r="D11" s="1" t="n"/>
      <c r="E11" s="28" t="n"/>
      <c r="F11" s="19" t="n"/>
      <c r="G11" s="19" t="n"/>
      <c r="H11" s="19" t="n"/>
      <c r="I11" s="19" t="n"/>
      <c r="J11" s="19" t="n"/>
      <c r="K11" s="19" t="n"/>
      <c r="L11" s="19" t="n"/>
      <c r="M11" s="19" t="n"/>
      <c r="N11" s="19" t="n"/>
      <c r="O11" s="19" t="n"/>
      <c r="P11" s="19" t="n"/>
      <c r="Q11" s="19" t="n"/>
      <c r="R11" s="19" t="n"/>
      <c r="S11" s="19" t="n"/>
      <c r="T11" s="19" t="n"/>
      <c r="U11" s="19" t="n"/>
      <c r="V11" s="19" t="n"/>
      <c r="W11" s="19" t="n"/>
      <c r="X11" s="19" t="n"/>
      <c r="Y11" s="19" t="n"/>
      <c r="Z11" s="19" t="n"/>
      <c r="AA11" s="19" t="n"/>
      <c r="AB11" s="19" t="n"/>
      <c r="AC11" s="19" t="n"/>
      <c r="AD11" s="19" t="n"/>
      <c r="AE11" s="19" t="n"/>
      <c r="AF11" s="19" t="n"/>
      <c r="AG11" s="19" t="n"/>
      <c r="AH11" s="19" t="n"/>
      <c r="AI11" s="19" t="n"/>
      <c r="AJ11" s="19" t="n"/>
      <c r="AK11" s="19" t="n"/>
      <c r="AL11" s="19" t="n"/>
      <c r="AM11" s="19" t="n"/>
      <c r="AN11" s="19" t="n"/>
      <c r="AO11" s="19" t="n"/>
      <c r="AP11" s="19" t="n"/>
      <c r="AQ11" s="19" t="n"/>
      <c r="AR11" s="19" t="n"/>
      <c r="AS11" s="19" t="n"/>
      <c r="AT11" s="19" t="n"/>
      <c r="AU11" s="19" t="n"/>
      <c r="AV11" s="19" t="n"/>
      <c r="AW11" s="19" t="n"/>
      <c r="AX11" s="19" t="n"/>
      <c r="AY11" s="19" t="n"/>
      <c r="AZ11" s="19" t="n"/>
      <c r="BA11" s="19" t="n"/>
      <c r="BB11" s="19" t="n"/>
      <c r="BC11" s="19" t="n"/>
      <c r="BD11" s="19" t="n"/>
      <c r="BE11" s="19" t="n"/>
      <c r="BF11" s="19" t="n"/>
      <c r="BG11" s="19" t="n"/>
      <c r="BH11" s="19" t="n"/>
      <c r="BI11" s="19" t="n"/>
      <c r="BJ11" s="19" t="n"/>
      <c r="BK11" s="19" t="n"/>
      <c r="BL11" s="29" t="n"/>
      <c r="BM11">
        <f>IFERROR(VLOOKUP(BM$6,Hoja1!$F$2:$XFD$61,E11+4,FALSE),0)</f>
        <v/>
      </c>
      <c r="BN11">
        <f>IFERROR(VLOOKUP(BN$6,Hoja1!$F$2:$XFD$61,F11+4,FALSE),0)</f>
        <v/>
      </c>
      <c r="BO11">
        <f>IFERROR(VLOOKUP(BO$6,Hoja1!$F$2:$XFD$61,G11+4,FALSE),0)</f>
        <v/>
      </c>
      <c r="BP11">
        <f>IFERROR(VLOOKUP(BP$6,Hoja1!$F$2:$XFD$61,H11+4,FALSE),0)</f>
        <v/>
      </c>
      <c r="BQ11">
        <f>IFERROR(VLOOKUP(BQ$6,Hoja1!$F$2:$XFD$61,I11+4,FALSE),0)</f>
        <v/>
      </c>
      <c r="BR11">
        <f>IFERROR(VLOOKUP(BR$6,Hoja1!$F$2:$XFD$61,J11+4,FALSE),0)</f>
        <v/>
      </c>
      <c r="BS11">
        <f>IFERROR(VLOOKUP(BS$6,Hoja1!$F$2:$XFD$61,K11+4,FALSE),0)</f>
        <v/>
      </c>
      <c r="BT11">
        <f>IFERROR(VLOOKUP(BT$6,Hoja1!$F$2:$XFD$61,L11+4,FALSE),0)</f>
        <v/>
      </c>
      <c r="BU11">
        <f>IFERROR(VLOOKUP(BU$6,Hoja1!$F$2:$XFD$61,M11+4,FALSE),0)</f>
        <v/>
      </c>
      <c r="BV11">
        <f>IFERROR(VLOOKUP(BV$6,Hoja1!$F$2:$XFD$61,N11+4,FALSE),0)</f>
        <v/>
      </c>
      <c r="BW11">
        <f>IFERROR(VLOOKUP(BW$6,Hoja1!$F$2:$XFD$61,O11+4,FALSE),0)</f>
        <v/>
      </c>
      <c r="BX11">
        <f>IFERROR(VLOOKUP(BX$6,Hoja1!$F$2:$XFD$61,P11+4,FALSE),0)</f>
        <v/>
      </c>
      <c r="BY11">
        <f>IFERROR(VLOOKUP(BY$6,Hoja1!$F$2:$XFD$61,Q11+4,FALSE),0)</f>
        <v/>
      </c>
      <c r="BZ11">
        <f>IFERROR(VLOOKUP(BZ$6,Hoja1!$F$2:$XFD$61,R11+4,FALSE),0)</f>
        <v/>
      </c>
      <c r="CA11">
        <f>IFERROR(VLOOKUP(CA$6,Hoja1!$F$2:$XFD$61,S11+4,FALSE),0)</f>
        <v/>
      </c>
      <c r="CB11">
        <f>IFERROR(VLOOKUP(CB$6,Hoja1!$F$2:$XFD$61,T11+4,FALSE),0)</f>
        <v/>
      </c>
      <c r="CC11">
        <f>IFERROR(VLOOKUP(CC$6,Hoja1!$F$2:$XFD$61,U11+4,FALSE),0)</f>
        <v/>
      </c>
      <c r="CD11">
        <f>IFERROR(VLOOKUP(CD$6,Hoja1!$F$2:$XFD$61,V11+4,FALSE),0)</f>
        <v/>
      </c>
      <c r="CE11">
        <f>IFERROR(VLOOKUP(CE$6,Hoja1!$F$2:$XFD$61,W11+4,FALSE),0)</f>
        <v/>
      </c>
      <c r="CF11">
        <f>IFERROR(VLOOKUP(CF$6,Hoja1!$F$2:$XFD$61,X11+4,FALSE),0)</f>
        <v/>
      </c>
      <c r="CG11">
        <f>IFERROR(VLOOKUP(CG$6,Hoja1!$F$2:$XFD$61,Y11+4,FALSE),0)</f>
        <v/>
      </c>
      <c r="CH11">
        <f>IFERROR(VLOOKUP(CH$6,Hoja1!$F$2:$XFD$61,Z11+4,FALSE),0)</f>
        <v/>
      </c>
      <c r="CI11">
        <f>IFERROR(VLOOKUP(CI$6,Hoja1!$F$2:$XFD$61,AA11+4,FALSE),0)</f>
        <v/>
      </c>
      <c r="CJ11">
        <f>IFERROR(VLOOKUP(CJ$6,Hoja1!$F$2:$XFD$61,AB11+4,FALSE),0)</f>
        <v/>
      </c>
      <c r="CK11">
        <f>IFERROR(VLOOKUP(CK$6,Hoja1!$F$2:$XFD$61,AC11+4,FALSE),0)</f>
        <v/>
      </c>
      <c r="CL11">
        <f>IFERROR(VLOOKUP(CL$6,Hoja1!$F$2:$XFD$61,AD11+4,FALSE),0)</f>
        <v/>
      </c>
      <c r="CM11">
        <f>IFERROR(VLOOKUP(CM$6,Hoja1!$F$2:$XFD$61,AE11+4,FALSE),0)</f>
        <v/>
      </c>
      <c r="CN11">
        <f>IFERROR(VLOOKUP(CN$6,Hoja1!$F$2:$XFD$61,AF11+4,FALSE),0)</f>
        <v/>
      </c>
      <c r="CO11">
        <f>IFERROR(VLOOKUP(CO$6,Hoja1!$F$2:$XFD$61,AG11+4,FALSE),0)</f>
        <v/>
      </c>
      <c r="CP11">
        <f>IFERROR(VLOOKUP(CP$6,Hoja1!$F$2:$XFD$61,AH11+4,FALSE),0)</f>
        <v/>
      </c>
      <c r="CQ11">
        <f>IFERROR(VLOOKUP(CQ$6,Hoja1!$F$2:$XFD$61,AI11+4,FALSE),0)</f>
        <v/>
      </c>
      <c r="CR11">
        <f>IFERROR(VLOOKUP(CR$6,Hoja1!$F$2:$XFD$61,AJ11+4,FALSE),0)</f>
        <v/>
      </c>
      <c r="CS11">
        <f>IFERROR(VLOOKUP(CS$6,Hoja1!$F$2:$XFD$61,AK11+4,FALSE),0)</f>
        <v/>
      </c>
      <c r="CT11">
        <f>IFERROR(VLOOKUP(CT$6,Hoja1!$F$2:$XFD$61,AL11+4,FALSE),0)</f>
        <v/>
      </c>
      <c r="CU11">
        <f>IFERROR(VLOOKUP(CU$6,Hoja1!$F$2:$XFD$61,AM11+4,FALSE),0)</f>
        <v/>
      </c>
      <c r="CV11">
        <f>IFERROR(VLOOKUP(CV$6,Hoja1!$F$2:$XFD$61,AN11+4,FALSE),0)</f>
        <v/>
      </c>
      <c r="CW11">
        <f>IFERROR(VLOOKUP(CW$6,Hoja1!$F$2:$XFD$61,AO11+4,FALSE),0)</f>
        <v/>
      </c>
      <c r="CX11">
        <f>IFERROR(VLOOKUP(CX$6,Hoja1!$F$2:$XFD$61,AP11+4,FALSE),0)</f>
        <v/>
      </c>
      <c r="CY11">
        <f>IFERROR(VLOOKUP(CY$6,Hoja1!$F$2:$XFD$61,AQ11+4,FALSE),0)</f>
        <v/>
      </c>
      <c r="CZ11">
        <f>IFERROR(VLOOKUP(CZ$6,Hoja1!$F$2:$XFD$61,AR11+4,FALSE),0)</f>
        <v/>
      </c>
      <c r="DA11">
        <f>IFERROR(VLOOKUP(DA$6,Hoja1!$F$2:$XFD$61,AS11+4,FALSE),0)</f>
        <v/>
      </c>
      <c r="DB11">
        <f>IFERROR(VLOOKUP(DB$6,Hoja1!$F$2:$XFD$61,AT11+4,FALSE),0)</f>
        <v/>
      </c>
      <c r="DC11">
        <f>IFERROR(VLOOKUP(DC$6,Hoja1!$F$2:$XFD$61,AU11+4,FALSE),0)</f>
        <v/>
      </c>
      <c r="DD11">
        <f>IFERROR(VLOOKUP(DD$6,Hoja1!$F$2:$XFD$61,AV11+4,FALSE),0)</f>
        <v/>
      </c>
      <c r="DE11">
        <f>IFERROR(VLOOKUP(DE$6,Hoja1!$F$2:$XFD$61,AW11+4,FALSE),0)</f>
        <v/>
      </c>
      <c r="DF11">
        <f>IFERROR(VLOOKUP(DF$6,Hoja1!$F$2:$XFD$61,AX11+4,FALSE),0)</f>
        <v/>
      </c>
      <c r="DG11">
        <f>IFERROR(VLOOKUP(DG$6,Hoja1!$F$2:$XFD$61,AY11+4,FALSE),0)</f>
        <v/>
      </c>
      <c r="DH11">
        <f>IFERROR(VLOOKUP(DH$6,Hoja1!$F$2:$XFD$61,AZ11+4,FALSE),0)</f>
        <v/>
      </c>
      <c r="DI11">
        <f>IFERROR(VLOOKUP(DI$6,Hoja1!$F$2:$XFD$61,BA11+4,FALSE),0)</f>
        <v/>
      </c>
      <c r="DJ11">
        <f>IFERROR(VLOOKUP(DJ$6,Hoja1!$F$2:$XFD$61,BB11+4,FALSE),0)</f>
        <v/>
      </c>
      <c r="DK11">
        <f>IFERROR(VLOOKUP(DK$6,Hoja1!$F$2:$XFD$61,BC11+4,FALSE),0)</f>
        <v/>
      </c>
      <c r="DL11">
        <f>IFERROR(VLOOKUP(DL$6,Hoja1!$F$2:$XFD$61,BD11+4,FALSE),0)</f>
        <v/>
      </c>
      <c r="DM11">
        <f>IFERROR(VLOOKUP(DM$6,Hoja1!$F$2:$XFD$61,BE11+4,FALSE),0)</f>
        <v/>
      </c>
      <c r="DN11">
        <f>IFERROR(VLOOKUP(DN$6,Hoja1!$F$2:$XFD$61,BF11+4,FALSE),0)</f>
        <v/>
      </c>
      <c r="DO11">
        <f>IFERROR(VLOOKUP(DO$6,Hoja1!$F$2:$XFD$61,BG11+4,FALSE),0)</f>
        <v/>
      </c>
      <c r="DP11">
        <f>IFERROR(VLOOKUP(DP$6,Hoja1!$F$2:$XFD$61,BH11+4,FALSE),0)</f>
        <v/>
      </c>
      <c r="DQ11">
        <f>IFERROR(VLOOKUP(DQ$6,Hoja1!$F$2:$XFD$61,BI11+4,FALSE),0)</f>
        <v/>
      </c>
      <c r="DR11">
        <f>IFERROR(VLOOKUP(DR$6,Hoja1!$F$2:$XFD$61,BJ11+4,FALSE),0)</f>
        <v/>
      </c>
      <c r="DS11">
        <f>IFERROR(VLOOKUP(DS$6,Hoja1!$F$2:$XFD$61,BK11+4,FALSE),0)</f>
        <v/>
      </c>
      <c r="DT11">
        <f>IFERROR(VLOOKUP(DT$6,Hoja1!$F$2:$XFD$61,BL11+4,FALSE),0)</f>
        <v/>
      </c>
      <c r="DU11" s="15">
        <f>IF(COUNT(E11:BL11)=$DV$7,IF(D11="","indique grupo",SUM(BM11:DT11)),"")</f>
        <v/>
      </c>
      <c r="DV11" s="16">
        <f>IF(D11&lt;&gt;"",IF(DU11="","",IF(DU11&gt;=$DU$7*Hoja1!$E$2,4+3/($DU$7*(1-Hoja1!$E$2))*(DU11-$DU$7*Hoja1!$E$2),1+3/($DU$7*Hoja1!$E$2)*DU11)),DU11)</f>
        <v/>
      </c>
      <c r="DW11" s="47" t="b">
        <v>0</v>
      </c>
    </row>
    <row r="12" ht="23.25" customHeight="1">
      <c r="A12" s="17" t="n">
        <v>3</v>
      </c>
      <c r="B12" s="14" t="inlineStr">
        <is>
          <t>ARRIAGADA QUINTANA HANS ANGELO</t>
        </is>
      </c>
      <c r="C12" s="14" t="inlineStr">
        <is>
          <t>17896111K</t>
        </is>
      </c>
      <c r="D12" s="1" t="n"/>
      <c r="E12" s="28" t="n"/>
      <c r="F12" s="19" t="n"/>
      <c r="G12" s="19" t="n"/>
      <c r="H12" s="19" t="n"/>
      <c r="I12" s="19" t="n"/>
      <c r="J12" s="19" t="n"/>
      <c r="K12" s="19" t="n"/>
      <c r="L12" s="19" t="n"/>
      <c r="M12" s="19" t="n"/>
      <c r="N12" s="19" t="n"/>
      <c r="O12" s="19" t="n"/>
      <c r="P12" s="19" t="n"/>
      <c r="Q12" s="19" t="n"/>
      <c r="R12" s="19" t="n"/>
      <c r="S12" s="19" t="n"/>
      <c r="T12" s="19" t="n"/>
      <c r="U12" s="19" t="n"/>
      <c r="V12" s="19" t="n"/>
      <c r="W12" s="19" t="n"/>
      <c r="X12" s="19" t="n"/>
      <c r="Y12" s="19" t="n"/>
      <c r="Z12" s="19" t="n"/>
      <c r="AA12" s="19" t="n"/>
      <c r="AB12" s="19" t="n"/>
      <c r="AC12" s="19" t="n"/>
      <c r="AD12" s="19" t="n"/>
      <c r="AE12" s="19" t="n"/>
      <c r="AF12" s="19" t="n"/>
      <c r="AG12" s="19" t="n"/>
      <c r="AH12" s="19" t="n"/>
      <c r="AI12" s="19" t="n"/>
      <c r="AJ12" s="19" t="n"/>
      <c r="AK12" s="19" t="n"/>
      <c r="AL12" s="19" t="n"/>
      <c r="AM12" s="19" t="n"/>
      <c r="AN12" s="19" t="n"/>
      <c r="AO12" s="19" t="n"/>
      <c r="AP12" s="19" t="n"/>
      <c r="AQ12" s="19" t="n"/>
      <c r="AR12" s="19" t="n"/>
      <c r="AS12" s="19" t="n"/>
      <c r="AT12" s="19" t="n"/>
      <c r="AU12" s="19" t="n"/>
      <c r="AV12" s="19" t="n"/>
      <c r="AW12" s="19" t="n"/>
      <c r="AX12" s="19" t="n"/>
      <c r="AY12" s="19" t="n"/>
      <c r="AZ12" s="19" t="n"/>
      <c r="BA12" s="19" t="n"/>
      <c r="BB12" s="19" t="n"/>
      <c r="BC12" s="19" t="n"/>
      <c r="BD12" s="19" t="n"/>
      <c r="BE12" s="19" t="n"/>
      <c r="BF12" s="19" t="n"/>
      <c r="BG12" s="19" t="n"/>
      <c r="BH12" s="19" t="n"/>
      <c r="BI12" s="19" t="n"/>
      <c r="BJ12" s="19" t="n"/>
      <c r="BK12" s="19" t="n"/>
      <c r="BL12" s="29" t="n"/>
      <c r="BM12">
        <f>IFERROR(VLOOKUP(BM$6,Hoja1!$F$2:$XFD$61,E12+4,FALSE),0)</f>
        <v/>
      </c>
      <c r="BN12">
        <f>IFERROR(VLOOKUP(BN$6,Hoja1!$F$2:$XFD$61,F12+4,FALSE),0)</f>
        <v/>
      </c>
      <c r="BO12">
        <f>IFERROR(VLOOKUP(BO$6,Hoja1!$F$2:$XFD$61,G12+4,FALSE),0)</f>
        <v/>
      </c>
      <c r="BP12">
        <f>IFERROR(VLOOKUP(BP$6,Hoja1!$F$2:$XFD$61,H12+4,FALSE),0)</f>
        <v/>
      </c>
      <c r="BQ12">
        <f>IFERROR(VLOOKUP(BQ$6,Hoja1!$F$2:$XFD$61,I12+4,FALSE),0)</f>
        <v/>
      </c>
      <c r="BR12">
        <f>IFERROR(VLOOKUP(BR$6,Hoja1!$F$2:$XFD$61,J12+4,FALSE),0)</f>
        <v/>
      </c>
      <c r="BS12">
        <f>IFERROR(VLOOKUP(BS$6,Hoja1!$F$2:$XFD$61,K12+4,FALSE),0)</f>
        <v/>
      </c>
      <c r="BT12">
        <f>IFERROR(VLOOKUP(BT$6,Hoja1!$F$2:$XFD$61,L12+4,FALSE),0)</f>
        <v/>
      </c>
      <c r="BU12">
        <f>IFERROR(VLOOKUP(BU$6,Hoja1!$F$2:$XFD$61,M12+4,FALSE),0)</f>
        <v/>
      </c>
      <c r="BV12">
        <f>IFERROR(VLOOKUP(BV$6,Hoja1!$F$2:$XFD$61,N12+4,FALSE),0)</f>
        <v/>
      </c>
      <c r="BW12">
        <f>IFERROR(VLOOKUP(BW$6,Hoja1!$F$2:$XFD$61,O12+4,FALSE),0)</f>
        <v/>
      </c>
      <c r="BX12">
        <f>IFERROR(VLOOKUP(BX$6,Hoja1!$F$2:$XFD$61,P12+4,FALSE),0)</f>
        <v/>
      </c>
      <c r="BY12">
        <f>IFERROR(VLOOKUP(BY$6,Hoja1!$F$2:$XFD$61,Q12+4,FALSE),0)</f>
        <v/>
      </c>
      <c r="BZ12">
        <f>IFERROR(VLOOKUP(BZ$6,Hoja1!$F$2:$XFD$61,R12+4,FALSE),0)</f>
        <v/>
      </c>
      <c r="CA12">
        <f>IFERROR(VLOOKUP(CA$6,Hoja1!$F$2:$XFD$61,S12+4,FALSE),0)</f>
        <v/>
      </c>
      <c r="CB12">
        <f>IFERROR(VLOOKUP(CB$6,Hoja1!$F$2:$XFD$61,T12+4,FALSE),0)</f>
        <v/>
      </c>
      <c r="CC12">
        <f>IFERROR(VLOOKUP(CC$6,Hoja1!$F$2:$XFD$61,U12+4,FALSE),0)</f>
        <v/>
      </c>
      <c r="CD12">
        <f>IFERROR(VLOOKUP(CD$6,Hoja1!$F$2:$XFD$61,V12+4,FALSE),0)</f>
        <v/>
      </c>
      <c r="CE12">
        <f>IFERROR(VLOOKUP(CE$6,Hoja1!$F$2:$XFD$61,W12+4,FALSE),0)</f>
        <v/>
      </c>
      <c r="CF12">
        <f>IFERROR(VLOOKUP(CF$6,Hoja1!$F$2:$XFD$61,X12+4,FALSE),0)</f>
        <v/>
      </c>
      <c r="CG12">
        <f>IFERROR(VLOOKUP(CG$6,Hoja1!$F$2:$XFD$61,Y12+4,FALSE),0)</f>
        <v/>
      </c>
      <c r="CH12">
        <f>IFERROR(VLOOKUP(CH$6,Hoja1!$F$2:$XFD$61,Z12+4,FALSE),0)</f>
        <v/>
      </c>
      <c r="CI12">
        <f>IFERROR(VLOOKUP(CI$6,Hoja1!$F$2:$XFD$61,AA12+4,FALSE),0)</f>
        <v/>
      </c>
      <c r="CJ12">
        <f>IFERROR(VLOOKUP(CJ$6,Hoja1!$F$2:$XFD$61,AB12+4,FALSE),0)</f>
        <v/>
      </c>
      <c r="CK12">
        <f>IFERROR(VLOOKUP(CK$6,Hoja1!$F$2:$XFD$61,AC12+4,FALSE),0)</f>
        <v/>
      </c>
      <c r="CL12">
        <f>IFERROR(VLOOKUP(CL$6,Hoja1!$F$2:$XFD$61,AD12+4,FALSE),0)</f>
        <v/>
      </c>
      <c r="CM12">
        <f>IFERROR(VLOOKUP(CM$6,Hoja1!$F$2:$XFD$61,AE12+4,FALSE),0)</f>
        <v/>
      </c>
      <c r="CN12">
        <f>IFERROR(VLOOKUP(CN$6,Hoja1!$F$2:$XFD$61,AF12+4,FALSE),0)</f>
        <v/>
      </c>
      <c r="CO12">
        <f>IFERROR(VLOOKUP(CO$6,Hoja1!$F$2:$XFD$61,AG12+4,FALSE),0)</f>
        <v/>
      </c>
      <c r="CP12">
        <f>IFERROR(VLOOKUP(CP$6,Hoja1!$F$2:$XFD$61,AH12+4,FALSE),0)</f>
        <v/>
      </c>
      <c r="CQ12">
        <f>IFERROR(VLOOKUP(CQ$6,Hoja1!$F$2:$XFD$61,AI12+4,FALSE),0)</f>
        <v/>
      </c>
      <c r="CR12">
        <f>IFERROR(VLOOKUP(CR$6,Hoja1!$F$2:$XFD$61,AJ12+4,FALSE),0)</f>
        <v/>
      </c>
      <c r="CS12">
        <f>IFERROR(VLOOKUP(CS$6,Hoja1!$F$2:$XFD$61,AK12+4,FALSE),0)</f>
        <v/>
      </c>
      <c r="CT12">
        <f>IFERROR(VLOOKUP(CT$6,Hoja1!$F$2:$XFD$61,AL12+4,FALSE),0)</f>
        <v/>
      </c>
      <c r="CU12">
        <f>IFERROR(VLOOKUP(CU$6,Hoja1!$F$2:$XFD$61,AM12+4,FALSE),0)</f>
        <v/>
      </c>
      <c r="CV12">
        <f>IFERROR(VLOOKUP(CV$6,Hoja1!$F$2:$XFD$61,AN12+4,FALSE),0)</f>
        <v/>
      </c>
      <c r="CW12">
        <f>IFERROR(VLOOKUP(CW$6,Hoja1!$F$2:$XFD$61,AO12+4,FALSE),0)</f>
        <v/>
      </c>
      <c r="CX12">
        <f>IFERROR(VLOOKUP(CX$6,Hoja1!$F$2:$XFD$61,AP12+4,FALSE),0)</f>
        <v/>
      </c>
      <c r="CY12">
        <f>IFERROR(VLOOKUP(CY$6,Hoja1!$F$2:$XFD$61,AQ12+4,FALSE),0)</f>
        <v/>
      </c>
      <c r="CZ12">
        <f>IFERROR(VLOOKUP(CZ$6,Hoja1!$F$2:$XFD$61,AR12+4,FALSE),0)</f>
        <v/>
      </c>
      <c r="DA12">
        <f>IFERROR(VLOOKUP(DA$6,Hoja1!$F$2:$XFD$61,AS12+4,FALSE),0)</f>
        <v/>
      </c>
      <c r="DB12">
        <f>IFERROR(VLOOKUP(DB$6,Hoja1!$F$2:$XFD$61,AT12+4,FALSE),0)</f>
        <v/>
      </c>
      <c r="DC12">
        <f>IFERROR(VLOOKUP(DC$6,Hoja1!$F$2:$XFD$61,AU12+4,FALSE),0)</f>
        <v/>
      </c>
      <c r="DD12">
        <f>IFERROR(VLOOKUP(DD$6,Hoja1!$F$2:$XFD$61,AV12+4,FALSE),0)</f>
        <v/>
      </c>
      <c r="DE12">
        <f>IFERROR(VLOOKUP(DE$6,Hoja1!$F$2:$XFD$61,AW12+4,FALSE),0)</f>
        <v/>
      </c>
      <c r="DF12">
        <f>IFERROR(VLOOKUP(DF$6,Hoja1!$F$2:$XFD$61,AX12+4,FALSE),0)</f>
        <v/>
      </c>
      <c r="DG12">
        <f>IFERROR(VLOOKUP(DG$6,Hoja1!$F$2:$XFD$61,AY12+4,FALSE),0)</f>
        <v/>
      </c>
      <c r="DH12">
        <f>IFERROR(VLOOKUP(DH$6,Hoja1!$F$2:$XFD$61,AZ12+4,FALSE),0)</f>
        <v/>
      </c>
      <c r="DI12">
        <f>IFERROR(VLOOKUP(DI$6,Hoja1!$F$2:$XFD$61,BA12+4,FALSE),0)</f>
        <v/>
      </c>
      <c r="DJ12">
        <f>IFERROR(VLOOKUP(DJ$6,Hoja1!$F$2:$XFD$61,BB12+4,FALSE),0)</f>
        <v/>
      </c>
      <c r="DK12">
        <f>IFERROR(VLOOKUP(DK$6,Hoja1!$F$2:$XFD$61,BC12+4,FALSE),0)</f>
        <v/>
      </c>
      <c r="DL12">
        <f>IFERROR(VLOOKUP(DL$6,Hoja1!$F$2:$XFD$61,BD12+4,FALSE),0)</f>
        <v/>
      </c>
      <c r="DM12">
        <f>IFERROR(VLOOKUP(DM$6,Hoja1!$F$2:$XFD$61,BE12+4,FALSE),0)</f>
        <v/>
      </c>
      <c r="DN12">
        <f>IFERROR(VLOOKUP(DN$6,Hoja1!$F$2:$XFD$61,BF12+4,FALSE),0)</f>
        <v/>
      </c>
      <c r="DO12">
        <f>IFERROR(VLOOKUP(DO$6,Hoja1!$F$2:$XFD$61,BG12+4,FALSE),0)</f>
        <v/>
      </c>
      <c r="DP12">
        <f>IFERROR(VLOOKUP(DP$6,Hoja1!$F$2:$XFD$61,BH12+4,FALSE),0)</f>
        <v/>
      </c>
      <c r="DQ12">
        <f>IFERROR(VLOOKUP(DQ$6,Hoja1!$F$2:$XFD$61,BI12+4,FALSE),0)</f>
        <v/>
      </c>
      <c r="DR12">
        <f>IFERROR(VLOOKUP(DR$6,Hoja1!$F$2:$XFD$61,BJ12+4,FALSE),0)</f>
        <v/>
      </c>
      <c r="DS12">
        <f>IFERROR(VLOOKUP(DS$6,Hoja1!$F$2:$XFD$61,BK12+4,FALSE),0)</f>
        <v/>
      </c>
      <c r="DT12">
        <f>IFERROR(VLOOKUP(DT$6,Hoja1!$F$2:$XFD$61,BL12+4,FALSE),0)</f>
        <v/>
      </c>
      <c r="DU12" s="15">
        <f>IF(COUNT(E12:BL12)=$DV$7,IF(D12="","indique grupo",SUM(BM12:DT12)),"")</f>
        <v/>
      </c>
      <c r="DV12" s="16">
        <f>IF(D12&lt;&gt;"",IF(DU12="","",IF(DU12&gt;=$DU$7*Hoja1!$E$2,4+3/($DU$7*(1-Hoja1!$E$2))*(DU12-$DU$7*Hoja1!$E$2),1+3/($DU$7*Hoja1!$E$2)*DU12)),DU12)</f>
        <v/>
      </c>
      <c r="DW12" s="47" t="b">
        <v>0</v>
      </c>
    </row>
    <row r="13" ht="23.25" customHeight="1">
      <c r="A13" s="17" t="n">
        <v>4</v>
      </c>
      <c r="B13" s="18" t="inlineStr">
        <is>
          <t>AVELLO NUNEZ SERGIO GUSTAVO</t>
        </is>
      </c>
      <c r="C13" s="18" t="inlineStr">
        <is>
          <t>196482741</t>
        </is>
      </c>
      <c r="D13" s="1" t="n"/>
      <c r="E13" s="28" t="n"/>
      <c r="F13" s="19" t="n"/>
      <c r="G13" s="19" t="n"/>
      <c r="H13" s="19" t="n"/>
      <c r="I13" s="19" t="n"/>
      <c r="J13" s="19" t="n"/>
      <c r="K13" s="19" t="n"/>
      <c r="L13" s="19" t="n"/>
      <c r="M13" s="19" t="n"/>
      <c r="N13" s="19" t="n"/>
      <c r="O13" s="19" t="n"/>
      <c r="P13" s="19" t="n"/>
      <c r="Q13" s="19" t="n"/>
      <c r="R13" s="19" t="n"/>
      <c r="S13" s="19" t="n"/>
      <c r="T13" s="19" t="n"/>
      <c r="U13" s="19" t="n"/>
      <c r="V13" s="19" t="n"/>
      <c r="W13" s="19" t="n"/>
      <c r="X13" s="19" t="n"/>
      <c r="Y13" s="19" t="n"/>
      <c r="Z13" s="19" t="n"/>
      <c r="AA13" s="19" t="n"/>
      <c r="AB13" s="19" t="n"/>
      <c r="AC13" s="19" t="n"/>
      <c r="AD13" s="19" t="n"/>
      <c r="AE13" s="19" t="n"/>
      <c r="AF13" s="19" t="n"/>
      <c r="AG13" s="19" t="n"/>
      <c r="AH13" s="19" t="n"/>
      <c r="AI13" s="19" t="n"/>
      <c r="AJ13" s="19" t="n"/>
      <c r="AK13" s="19" t="n"/>
      <c r="AL13" s="19" t="n"/>
      <c r="AM13" s="19" t="n"/>
      <c r="AN13" s="19" t="n"/>
      <c r="AO13" s="19" t="n"/>
      <c r="AP13" s="19" t="n"/>
      <c r="AQ13" s="19" t="n"/>
      <c r="AR13" s="19" t="n"/>
      <c r="AS13" s="19" t="n"/>
      <c r="AT13" s="19" t="n"/>
      <c r="AU13" s="19" t="n"/>
      <c r="AV13" s="19" t="n"/>
      <c r="AW13" s="19" t="n"/>
      <c r="AX13" s="19" t="n"/>
      <c r="AY13" s="19" t="n"/>
      <c r="AZ13" s="19" t="n"/>
      <c r="BA13" s="19" t="n"/>
      <c r="BB13" s="19" t="n"/>
      <c r="BC13" s="19" t="n"/>
      <c r="BD13" s="19" t="n"/>
      <c r="BE13" s="19" t="n"/>
      <c r="BF13" s="19" t="n"/>
      <c r="BG13" s="19" t="n"/>
      <c r="BH13" s="19" t="n"/>
      <c r="BI13" s="19" t="n"/>
      <c r="BJ13" s="19" t="n"/>
      <c r="BK13" s="19" t="n"/>
      <c r="BL13" s="29" t="n"/>
      <c r="BM13">
        <f>IFERROR(VLOOKUP(BM$6,Hoja1!$F$2:$XFD$61,E13+4,FALSE),0)</f>
        <v/>
      </c>
      <c r="BN13">
        <f>IFERROR(VLOOKUP(BN$6,Hoja1!$F$2:$XFD$61,F13+4,FALSE),0)</f>
        <v/>
      </c>
      <c r="BO13">
        <f>IFERROR(VLOOKUP(BO$6,Hoja1!$F$2:$XFD$61,G13+4,FALSE),0)</f>
        <v/>
      </c>
      <c r="BP13">
        <f>IFERROR(VLOOKUP(BP$6,Hoja1!$F$2:$XFD$61,H13+4,FALSE),0)</f>
        <v/>
      </c>
      <c r="BQ13">
        <f>IFERROR(VLOOKUP(BQ$6,Hoja1!$F$2:$XFD$61,I13+4,FALSE),0)</f>
        <v/>
      </c>
      <c r="BR13">
        <f>IFERROR(VLOOKUP(BR$6,Hoja1!$F$2:$XFD$61,J13+4,FALSE),0)</f>
        <v/>
      </c>
      <c r="BS13">
        <f>IFERROR(VLOOKUP(BS$6,Hoja1!$F$2:$XFD$61,K13+4,FALSE),0)</f>
        <v/>
      </c>
      <c r="BT13">
        <f>IFERROR(VLOOKUP(BT$6,Hoja1!$F$2:$XFD$61,L13+4,FALSE),0)</f>
        <v/>
      </c>
      <c r="BU13">
        <f>IFERROR(VLOOKUP(BU$6,Hoja1!$F$2:$XFD$61,M13+4,FALSE),0)</f>
        <v/>
      </c>
      <c r="BV13">
        <f>IFERROR(VLOOKUP(BV$6,Hoja1!$F$2:$XFD$61,N13+4,FALSE),0)</f>
        <v/>
      </c>
      <c r="BW13">
        <f>IFERROR(VLOOKUP(BW$6,Hoja1!$F$2:$XFD$61,O13+4,FALSE),0)</f>
        <v/>
      </c>
      <c r="BX13">
        <f>IFERROR(VLOOKUP(BX$6,Hoja1!$F$2:$XFD$61,P13+4,FALSE),0)</f>
        <v/>
      </c>
      <c r="BY13">
        <f>IFERROR(VLOOKUP(BY$6,Hoja1!$F$2:$XFD$61,Q13+4,FALSE),0)</f>
        <v/>
      </c>
      <c r="BZ13">
        <f>IFERROR(VLOOKUP(BZ$6,Hoja1!$F$2:$XFD$61,R13+4,FALSE),0)</f>
        <v/>
      </c>
      <c r="CA13">
        <f>IFERROR(VLOOKUP(CA$6,Hoja1!$F$2:$XFD$61,S13+4,FALSE),0)</f>
        <v/>
      </c>
      <c r="CB13">
        <f>IFERROR(VLOOKUP(CB$6,Hoja1!$F$2:$XFD$61,T13+4,FALSE),0)</f>
        <v/>
      </c>
      <c r="CC13">
        <f>IFERROR(VLOOKUP(CC$6,Hoja1!$F$2:$XFD$61,U13+4,FALSE),0)</f>
        <v/>
      </c>
      <c r="CD13">
        <f>IFERROR(VLOOKUP(CD$6,Hoja1!$F$2:$XFD$61,V13+4,FALSE),0)</f>
        <v/>
      </c>
      <c r="CE13">
        <f>IFERROR(VLOOKUP(CE$6,Hoja1!$F$2:$XFD$61,W13+4,FALSE),0)</f>
        <v/>
      </c>
      <c r="CF13">
        <f>IFERROR(VLOOKUP(CF$6,Hoja1!$F$2:$XFD$61,X13+4,FALSE),0)</f>
        <v/>
      </c>
      <c r="CG13">
        <f>IFERROR(VLOOKUP(CG$6,Hoja1!$F$2:$XFD$61,Y13+4,FALSE),0)</f>
        <v/>
      </c>
      <c r="CH13">
        <f>IFERROR(VLOOKUP(CH$6,Hoja1!$F$2:$XFD$61,Z13+4,FALSE),0)</f>
        <v/>
      </c>
      <c r="CI13">
        <f>IFERROR(VLOOKUP(CI$6,Hoja1!$F$2:$XFD$61,AA13+4,FALSE),0)</f>
        <v/>
      </c>
      <c r="CJ13">
        <f>IFERROR(VLOOKUP(CJ$6,Hoja1!$F$2:$XFD$61,AB13+4,FALSE),0)</f>
        <v/>
      </c>
      <c r="CK13">
        <f>IFERROR(VLOOKUP(CK$6,Hoja1!$F$2:$XFD$61,AC13+4,FALSE),0)</f>
        <v/>
      </c>
      <c r="CL13">
        <f>IFERROR(VLOOKUP(CL$6,Hoja1!$F$2:$XFD$61,AD13+4,FALSE),0)</f>
        <v/>
      </c>
      <c r="CM13">
        <f>IFERROR(VLOOKUP(CM$6,Hoja1!$F$2:$XFD$61,AE13+4,FALSE),0)</f>
        <v/>
      </c>
      <c r="CN13">
        <f>IFERROR(VLOOKUP(CN$6,Hoja1!$F$2:$XFD$61,AF13+4,FALSE),0)</f>
        <v/>
      </c>
      <c r="CO13">
        <f>IFERROR(VLOOKUP(CO$6,Hoja1!$F$2:$XFD$61,AG13+4,FALSE),0)</f>
        <v/>
      </c>
      <c r="CP13">
        <f>IFERROR(VLOOKUP(CP$6,Hoja1!$F$2:$XFD$61,AH13+4,FALSE),0)</f>
        <v/>
      </c>
      <c r="CQ13">
        <f>IFERROR(VLOOKUP(CQ$6,Hoja1!$F$2:$XFD$61,AI13+4,FALSE),0)</f>
        <v/>
      </c>
      <c r="CR13">
        <f>IFERROR(VLOOKUP(CR$6,Hoja1!$F$2:$XFD$61,AJ13+4,FALSE),0)</f>
        <v/>
      </c>
      <c r="CS13">
        <f>IFERROR(VLOOKUP(CS$6,Hoja1!$F$2:$XFD$61,AK13+4,FALSE),0)</f>
        <v/>
      </c>
      <c r="CT13">
        <f>IFERROR(VLOOKUP(CT$6,Hoja1!$F$2:$XFD$61,AL13+4,FALSE),0)</f>
        <v/>
      </c>
      <c r="CU13">
        <f>IFERROR(VLOOKUP(CU$6,Hoja1!$F$2:$XFD$61,AM13+4,FALSE),0)</f>
        <v/>
      </c>
      <c r="CV13">
        <f>IFERROR(VLOOKUP(CV$6,Hoja1!$F$2:$XFD$61,AN13+4,FALSE),0)</f>
        <v/>
      </c>
      <c r="CW13">
        <f>IFERROR(VLOOKUP(CW$6,Hoja1!$F$2:$XFD$61,AO13+4,FALSE),0)</f>
        <v/>
      </c>
      <c r="CX13">
        <f>IFERROR(VLOOKUP(CX$6,Hoja1!$F$2:$XFD$61,AP13+4,FALSE),0)</f>
        <v/>
      </c>
      <c r="CY13">
        <f>IFERROR(VLOOKUP(CY$6,Hoja1!$F$2:$XFD$61,AQ13+4,FALSE),0)</f>
        <v/>
      </c>
      <c r="CZ13">
        <f>IFERROR(VLOOKUP(CZ$6,Hoja1!$F$2:$XFD$61,AR13+4,FALSE),0)</f>
        <v/>
      </c>
      <c r="DA13">
        <f>IFERROR(VLOOKUP(DA$6,Hoja1!$F$2:$XFD$61,AS13+4,FALSE),0)</f>
        <v/>
      </c>
      <c r="DB13">
        <f>IFERROR(VLOOKUP(DB$6,Hoja1!$F$2:$XFD$61,AT13+4,FALSE),0)</f>
        <v/>
      </c>
      <c r="DC13">
        <f>IFERROR(VLOOKUP(DC$6,Hoja1!$F$2:$XFD$61,AU13+4,FALSE),0)</f>
        <v/>
      </c>
      <c r="DD13">
        <f>IFERROR(VLOOKUP(DD$6,Hoja1!$F$2:$XFD$61,AV13+4,FALSE),0)</f>
        <v/>
      </c>
      <c r="DE13">
        <f>IFERROR(VLOOKUP(DE$6,Hoja1!$F$2:$XFD$61,AW13+4,FALSE),0)</f>
        <v/>
      </c>
      <c r="DF13">
        <f>IFERROR(VLOOKUP(DF$6,Hoja1!$F$2:$XFD$61,AX13+4,FALSE),0)</f>
        <v/>
      </c>
      <c r="DG13">
        <f>IFERROR(VLOOKUP(DG$6,Hoja1!$F$2:$XFD$61,AY13+4,FALSE),0)</f>
        <v/>
      </c>
      <c r="DH13">
        <f>IFERROR(VLOOKUP(DH$6,Hoja1!$F$2:$XFD$61,AZ13+4,FALSE),0)</f>
        <v/>
      </c>
      <c r="DI13">
        <f>IFERROR(VLOOKUP(DI$6,Hoja1!$F$2:$XFD$61,BA13+4,FALSE),0)</f>
        <v/>
      </c>
      <c r="DJ13">
        <f>IFERROR(VLOOKUP(DJ$6,Hoja1!$F$2:$XFD$61,BB13+4,FALSE),0)</f>
        <v/>
      </c>
      <c r="DK13">
        <f>IFERROR(VLOOKUP(DK$6,Hoja1!$F$2:$XFD$61,BC13+4,FALSE),0)</f>
        <v/>
      </c>
      <c r="DL13">
        <f>IFERROR(VLOOKUP(DL$6,Hoja1!$F$2:$XFD$61,BD13+4,FALSE),0)</f>
        <v/>
      </c>
      <c r="DM13">
        <f>IFERROR(VLOOKUP(DM$6,Hoja1!$F$2:$XFD$61,BE13+4,FALSE),0)</f>
        <v/>
      </c>
      <c r="DN13">
        <f>IFERROR(VLOOKUP(DN$6,Hoja1!$F$2:$XFD$61,BF13+4,FALSE),0)</f>
        <v/>
      </c>
      <c r="DO13">
        <f>IFERROR(VLOOKUP(DO$6,Hoja1!$F$2:$XFD$61,BG13+4,FALSE),0)</f>
        <v/>
      </c>
      <c r="DP13">
        <f>IFERROR(VLOOKUP(DP$6,Hoja1!$F$2:$XFD$61,BH13+4,FALSE),0)</f>
        <v/>
      </c>
      <c r="DQ13">
        <f>IFERROR(VLOOKUP(DQ$6,Hoja1!$F$2:$XFD$61,BI13+4,FALSE),0)</f>
        <v/>
      </c>
      <c r="DR13">
        <f>IFERROR(VLOOKUP(DR$6,Hoja1!$F$2:$XFD$61,BJ13+4,FALSE),0)</f>
        <v/>
      </c>
      <c r="DS13">
        <f>IFERROR(VLOOKUP(DS$6,Hoja1!$F$2:$XFD$61,BK13+4,FALSE),0)</f>
        <v/>
      </c>
      <c r="DT13">
        <f>IFERROR(VLOOKUP(DT$6,Hoja1!$F$2:$XFD$61,BL13+4,FALSE),0)</f>
        <v/>
      </c>
      <c r="DU13" s="15">
        <f>IF(COUNT(E13:BL13)=$DV$7,IF(D13="","indique grupo",SUM(BM13:DT13)),"")</f>
        <v/>
      </c>
      <c r="DV13" s="16">
        <f>IF(D13&lt;&gt;"",IF(DU13="","",IF(DU13&gt;=$DU$7*Hoja1!$E$2,4+3/($DU$7*(1-Hoja1!$E$2))*(DU13-$DU$7*Hoja1!$E$2),1+3/($DU$7*Hoja1!$E$2)*DU13)),DU13)</f>
        <v/>
      </c>
      <c r="DW13" s="47" t="b">
        <v>0</v>
      </c>
    </row>
    <row r="14" ht="23.25" customHeight="1">
      <c r="A14" s="17" t="n">
        <v>5</v>
      </c>
      <c r="B14" s="14" t="inlineStr">
        <is>
          <t>BASTIAS DE LA MAZA MICHAEL ANDRES</t>
        </is>
      </c>
      <c r="C14" s="14" t="inlineStr">
        <is>
          <t>199075853</t>
        </is>
      </c>
      <c r="D14" s="1" t="n"/>
      <c r="E14" s="28" t="n"/>
      <c r="F14" s="19" t="n"/>
      <c r="G14" s="19" t="n"/>
      <c r="H14" s="19" t="n"/>
      <c r="I14" s="19" t="n"/>
      <c r="J14" s="19" t="n"/>
      <c r="K14" s="19" t="n"/>
      <c r="L14" s="19" t="n"/>
      <c r="M14" s="19" t="n"/>
      <c r="N14" s="19" t="n"/>
      <c r="O14" s="19" t="n"/>
      <c r="P14" s="19" t="n"/>
      <c r="Q14" s="19" t="n"/>
      <c r="R14" s="19" t="n"/>
      <c r="S14" s="19" t="n"/>
      <c r="T14" s="19" t="n"/>
      <c r="U14" s="19" t="n"/>
      <c r="V14" s="19" t="n"/>
      <c r="W14" s="19" t="n"/>
      <c r="X14" s="19" t="n"/>
      <c r="Y14" s="19" t="n"/>
      <c r="Z14" s="19" t="n"/>
      <c r="AA14" s="19" t="n"/>
      <c r="AB14" s="19" t="n"/>
      <c r="AC14" s="19" t="n"/>
      <c r="AD14" s="19" t="n"/>
      <c r="AE14" s="19" t="n"/>
      <c r="AF14" s="19" t="n"/>
      <c r="AG14" s="19" t="n"/>
      <c r="AH14" s="19" t="n"/>
      <c r="AI14" s="19" t="n"/>
      <c r="AJ14" s="19" t="n"/>
      <c r="AK14" s="19" t="n"/>
      <c r="AL14" s="19" t="n"/>
      <c r="AM14" s="19" t="n"/>
      <c r="AN14" s="19" t="n"/>
      <c r="AO14" s="19" t="n"/>
      <c r="AP14" s="19" t="n"/>
      <c r="AQ14" s="19" t="n"/>
      <c r="AR14" s="19" t="n"/>
      <c r="AS14" s="19" t="n"/>
      <c r="AT14" s="19" t="n"/>
      <c r="AU14" s="19" t="n"/>
      <c r="AV14" s="19" t="n"/>
      <c r="AW14" s="19" t="n"/>
      <c r="AX14" s="19" t="n"/>
      <c r="AY14" s="19" t="n"/>
      <c r="AZ14" s="19" t="n"/>
      <c r="BA14" s="19" t="n"/>
      <c r="BB14" s="19" t="n"/>
      <c r="BC14" s="19" t="n"/>
      <c r="BD14" s="19" t="n"/>
      <c r="BE14" s="19" t="n"/>
      <c r="BF14" s="19" t="n"/>
      <c r="BG14" s="19" t="n"/>
      <c r="BH14" s="19" t="n"/>
      <c r="BI14" s="19" t="n"/>
      <c r="BJ14" s="19" t="n"/>
      <c r="BK14" s="19" t="n"/>
      <c r="BL14" s="29" t="n"/>
      <c r="BM14">
        <f>IFERROR(VLOOKUP(BM$6,Hoja1!$F$2:$XFD$61,E14+4,FALSE),0)</f>
        <v/>
      </c>
      <c r="BN14">
        <f>IFERROR(VLOOKUP(BN$6,Hoja1!$F$2:$XFD$61,F14+4,FALSE),0)</f>
        <v/>
      </c>
      <c r="BO14">
        <f>IFERROR(VLOOKUP(BO$6,Hoja1!$F$2:$XFD$61,G14+4,FALSE),0)</f>
        <v/>
      </c>
      <c r="BP14">
        <f>IFERROR(VLOOKUP(BP$6,Hoja1!$F$2:$XFD$61,H14+4,FALSE),0)</f>
        <v/>
      </c>
      <c r="BQ14">
        <f>IFERROR(VLOOKUP(BQ$6,Hoja1!$F$2:$XFD$61,I14+4,FALSE),0)</f>
        <v/>
      </c>
      <c r="BR14">
        <f>IFERROR(VLOOKUP(BR$6,Hoja1!$F$2:$XFD$61,J14+4,FALSE),0)</f>
        <v/>
      </c>
      <c r="BS14">
        <f>IFERROR(VLOOKUP(BS$6,Hoja1!$F$2:$XFD$61,K14+4,FALSE),0)</f>
        <v/>
      </c>
      <c r="BT14">
        <f>IFERROR(VLOOKUP(BT$6,Hoja1!$F$2:$XFD$61,L14+4,FALSE),0)</f>
        <v/>
      </c>
      <c r="BU14">
        <f>IFERROR(VLOOKUP(BU$6,Hoja1!$F$2:$XFD$61,M14+4,FALSE),0)</f>
        <v/>
      </c>
      <c r="BV14">
        <f>IFERROR(VLOOKUP(BV$6,Hoja1!$F$2:$XFD$61,N14+4,FALSE),0)</f>
        <v/>
      </c>
      <c r="BW14">
        <f>IFERROR(VLOOKUP(BW$6,Hoja1!$F$2:$XFD$61,O14+4,FALSE),0)</f>
        <v/>
      </c>
      <c r="BX14">
        <f>IFERROR(VLOOKUP(BX$6,Hoja1!$F$2:$XFD$61,P14+4,FALSE),0)</f>
        <v/>
      </c>
      <c r="BY14">
        <f>IFERROR(VLOOKUP(BY$6,Hoja1!$F$2:$XFD$61,Q14+4,FALSE),0)</f>
        <v/>
      </c>
      <c r="BZ14">
        <f>IFERROR(VLOOKUP(BZ$6,Hoja1!$F$2:$XFD$61,R14+4,FALSE),0)</f>
        <v/>
      </c>
      <c r="CA14">
        <f>IFERROR(VLOOKUP(CA$6,Hoja1!$F$2:$XFD$61,S14+4,FALSE),0)</f>
        <v/>
      </c>
      <c r="CB14">
        <f>IFERROR(VLOOKUP(CB$6,Hoja1!$F$2:$XFD$61,T14+4,FALSE),0)</f>
        <v/>
      </c>
      <c r="CC14">
        <f>IFERROR(VLOOKUP(CC$6,Hoja1!$F$2:$XFD$61,U14+4,FALSE),0)</f>
        <v/>
      </c>
      <c r="CD14">
        <f>IFERROR(VLOOKUP(CD$6,Hoja1!$F$2:$XFD$61,V14+4,FALSE),0)</f>
        <v/>
      </c>
      <c r="CE14">
        <f>IFERROR(VLOOKUP(CE$6,Hoja1!$F$2:$XFD$61,W14+4,FALSE),0)</f>
        <v/>
      </c>
      <c r="CF14">
        <f>IFERROR(VLOOKUP(CF$6,Hoja1!$F$2:$XFD$61,X14+4,FALSE),0)</f>
        <v/>
      </c>
      <c r="CG14">
        <f>IFERROR(VLOOKUP(CG$6,Hoja1!$F$2:$XFD$61,Y14+4,FALSE),0)</f>
        <v/>
      </c>
      <c r="CH14">
        <f>IFERROR(VLOOKUP(CH$6,Hoja1!$F$2:$XFD$61,Z14+4,FALSE),0)</f>
        <v/>
      </c>
      <c r="CI14">
        <f>IFERROR(VLOOKUP(CI$6,Hoja1!$F$2:$XFD$61,AA14+4,FALSE),0)</f>
        <v/>
      </c>
      <c r="CJ14">
        <f>IFERROR(VLOOKUP(CJ$6,Hoja1!$F$2:$XFD$61,AB14+4,FALSE),0)</f>
        <v/>
      </c>
      <c r="CK14">
        <f>IFERROR(VLOOKUP(CK$6,Hoja1!$F$2:$XFD$61,AC14+4,FALSE),0)</f>
        <v/>
      </c>
      <c r="CL14">
        <f>IFERROR(VLOOKUP(CL$6,Hoja1!$F$2:$XFD$61,AD14+4,FALSE),0)</f>
        <v/>
      </c>
      <c r="CM14">
        <f>IFERROR(VLOOKUP(CM$6,Hoja1!$F$2:$XFD$61,AE14+4,FALSE),0)</f>
        <v/>
      </c>
      <c r="CN14">
        <f>IFERROR(VLOOKUP(CN$6,Hoja1!$F$2:$XFD$61,AF14+4,FALSE),0)</f>
        <v/>
      </c>
      <c r="CO14">
        <f>IFERROR(VLOOKUP(CO$6,Hoja1!$F$2:$XFD$61,AG14+4,FALSE),0)</f>
        <v/>
      </c>
      <c r="CP14">
        <f>IFERROR(VLOOKUP(CP$6,Hoja1!$F$2:$XFD$61,AH14+4,FALSE),0)</f>
        <v/>
      </c>
      <c r="CQ14">
        <f>IFERROR(VLOOKUP(CQ$6,Hoja1!$F$2:$XFD$61,AI14+4,FALSE),0)</f>
        <v/>
      </c>
      <c r="CR14">
        <f>IFERROR(VLOOKUP(CR$6,Hoja1!$F$2:$XFD$61,AJ14+4,FALSE),0)</f>
        <v/>
      </c>
      <c r="CS14">
        <f>IFERROR(VLOOKUP(CS$6,Hoja1!$F$2:$XFD$61,AK14+4,FALSE),0)</f>
        <v/>
      </c>
      <c r="CT14">
        <f>IFERROR(VLOOKUP(CT$6,Hoja1!$F$2:$XFD$61,AL14+4,FALSE),0)</f>
        <v/>
      </c>
      <c r="CU14">
        <f>IFERROR(VLOOKUP(CU$6,Hoja1!$F$2:$XFD$61,AM14+4,FALSE),0)</f>
        <v/>
      </c>
      <c r="CV14">
        <f>IFERROR(VLOOKUP(CV$6,Hoja1!$F$2:$XFD$61,AN14+4,FALSE),0)</f>
        <v/>
      </c>
      <c r="CW14">
        <f>IFERROR(VLOOKUP(CW$6,Hoja1!$F$2:$XFD$61,AO14+4,FALSE),0)</f>
        <v/>
      </c>
      <c r="CX14">
        <f>IFERROR(VLOOKUP(CX$6,Hoja1!$F$2:$XFD$61,AP14+4,FALSE),0)</f>
        <v/>
      </c>
      <c r="CY14">
        <f>IFERROR(VLOOKUP(CY$6,Hoja1!$F$2:$XFD$61,AQ14+4,FALSE),0)</f>
        <v/>
      </c>
      <c r="CZ14">
        <f>IFERROR(VLOOKUP(CZ$6,Hoja1!$F$2:$XFD$61,AR14+4,FALSE),0)</f>
        <v/>
      </c>
      <c r="DA14">
        <f>IFERROR(VLOOKUP(DA$6,Hoja1!$F$2:$XFD$61,AS14+4,FALSE),0)</f>
        <v/>
      </c>
      <c r="DB14">
        <f>IFERROR(VLOOKUP(DB$6,Hoja1!$F$2:$XFD$61,AT14+4,FALSE),0)</f>
        <v/>
      </c>
      <c r="DC14">
        <f>IFERROR(VLOOKUP(DC$6,Hoja1!$F$2:$XFD$61,AU14+4,FALSE),0)</f>
        <v/>
      </c>
      <c r="DD14">
        <f>IFERROR(VLOOKUP(DD$6,Hoja1!$F$2:$XFD$61,AV14+4,FALSE),0)</f>
        <v/>
      </c>
      <c r="DE14">
        <f>IFERROR(VLOOKUP(DE$6,Hoja1!$F$2:$XFD$61,AW14+4,FALSE),0)</f>
        <v/>
      </c>
      <c r="DF14">
        <f>IFERROR(VLOOKUP(DF$6,Hoja1!$F$2:$XFD$61,AX14+4,FALSE),0)</f>
        <v/>
      </c>
      <c r="DG14">
        <f>IFERROR(VLOOKUP(DG$6,Hoja1!$F$2:$XFD$61,AY14+4,FALSE),0)</f>
        <v/>
      </c>
      <c r="DH14">
        <f>IFERROR(VLOOKUP(DH$6,Hoja1!$F$2:$XFD$61,AZ14+4,FALSE),0)</f>
        <v/>
      </c>
      <c r="DI14">
        <f>IFERROR(VLOOKUP(DI$6,Hoja1!$F$2:$XFD$61,BA14+4,FALSE),0)</f>
        <v/>
      </c>
      <c r="DJ14">
        <f>IFERROR(VLOOKUP(DJ$6,Hoja1!$F$2:$XFD$61,BB14+4,FALSE),0)</f>
        <v/>
      </c>
      <c r="DK14">
        <f>IFERROR(VLOOKUP(DK$6,Hoja1!$F$2:$XFD$61,BC14+4,FALSE),0)</f>
        <v/>
      </c>
      <c r="DL14">
        <f>IFERROR(VLOOKUP(DL$6,Hoja1!$F$2:$XFD$61,BD14+4,FALSE),0)</f>
        <v/>
      </c>
      <c r="DM14">
        <f>IFERROR(VLOOKUP(DM$6,Hoja1!$F$2:$XFD$61,BE14+4,FALSE),0)</f>
        <v/>
      </c>
      <c r="DN14">
        <f>IFERROR(VLOOKUP(DN$6,Hoja1!$F$2:$XFD$61,BF14+4,FALSE),0)</f>
        <v/>
      </c>
      <c r="DO14">
        <f>IFERROR(VLOOKUP(DO$6,Hoja1!$F$2:$XFD$61,BG14+4,FALSE),0)</f>
        <v/>
      </c>
      <c r="DP14">
        <f>IFERROR(VLOOKUP(DP$6,Hoja1!$F$2:$XFD$61,BH14+4,FALSE),0)</f>
        <v/>
      </c>
      <c r="DQ14">
        <f>IFERROR(VLOOKUP(DQ$6,Hoja1!$F$2:$XFD$61,BI14+4,FALSE),0)</f>
        <v/>
      </c>
      <c r="DR14">
        <f>IFERROR(VLOOKUP(DR$6,Hoja1!$F$2:$XFD$61,BJ14+4,FALSE),0)</f>
        <v/>
      </c>
      <c r="DS14">
        <f>IFERROR(VLOOKUP(DS$6,Hoja1!$F$2:$XFD$61,BK14+4,FALSE),0)</f>
        <v/>
      </c>
      <c r="DT14">
        <f>IFERROR(VLOOKUP(DT$6,Hoja1!$F$2:$XFD$61,BL14+4,FALSE),0)</f>
        <v/>
      </c>
      <c r="DU14" s="15">
        <f>IF(COUNT(E14:BL14)=$DV$7,IF(D14="","indique grupo",SUM(BM14:DT14)),"")</f>
        <v/>
      </c>
      <c r="DV14" s="16">
        <f>IF(D14&lt;&gt;"",IF(DU14="","",IF(DU14&gt;=$DU$7*Hoja1!$E$2,4+3/($DU$7*(1-Hoja1!$E$2))*(DU14-$DU$7*Hoja1!$E$2),1+3/($DU$7*Hoja1!$E$2)*DU14)),DU14)</f>
        <v/>
      </c>
      <c r="DW14" s="47" t="b">
        <v>0</v>
      </c>
    </row>
    <row r="15" ht="23.25" customHeight="1">
      <c r="A15" s="17" t="n">
        <v>6</v>
      </c>
      <c r="B15" s="18" t="inlineStr">
        <is>
          <t>CANO CLAVIJO KAREN</t>
        </is>
      </c>
      <c r="C15" s="14" t="inlineStr">
        <is>
          <t>268165282</t>
        </is>
      </c>
      <c r="D15" s="1" t="n"/>
      <c r="E15" s="28" t="n"/>
      <c r="F15" s="19" t="n"/>
      <c r="G15" s="19" t="n"/>
      <c r="H15" s="19" t="n"/>
      <c r="I15" s="19" t="n"/>
      <c r="J15" s="19" t="n"/>
      <c r="K15" s="19" t="n"/>
      <c r="L15" s="19" t="n"/>
      <c r="M15" s="19" t="n"/>
      <c r="N15" s="19" t="n"/>
      <c r="O15" s="19" t="n"/>
      <c r="P15" s="19" t="n"/>
      <c r="Q15" s="19" t="n"/>
      <c r="R15" s="19" t="n"/>
      <c r="S15" s="19" t="n"/>
      <c r="T15" s="19" t="n"/>
      <c r="U15" s="19" t="n"/>
      <c r="V15" s="19" t="n"/>
      <c r="W15" s="19" t="n"/>
      <c r="X15" s="19" t="n"/>
      <c r="Y15" s="19" t="n"/>
      <c r="Z15" s="19" t="n"/>
      <c r="AA15" s="19" t="n"/>
      <c r="AB15" s="19" t="n"/>
      <c r="AC15" s="19" t="n"/>
      <c r="AD15" s="19" t="n"/>
      <c r="AE15" s="19" t="n"/>
      <c r="AF15" s="19" t="n"/>
      <c r="AG15" s="19" t="n"/>
      <c r="AH15" s="19" t="n"/>
      <c r="AI15" s="19" t="n"/>
      <c r="AJ15" s="19" t="n"/>
      <c r="AK15" s="19" t="n"/>
      <c r="AL15" s="19" t="n"/>
      <c r="AM15" s="19" t="n"/>
      <c r="AN15" s="19" t="n"/>
      <c r="AO15" s="19" t="n"/>
      <c r="AP15" s="19" t="n"/>
      <c r="AQ15" s="19" t="n"/>
      <c r="AR15" s="19" t="n"/>
      <c r="AS15" s="19" t="n"/>
      <c r="AT15" s="19" t="n"/>
      <c r="AU15" s="19" t="n"/>
      <c r="AV15" s="19" t="n"/>
      <c r="AW15" s="19" t="n"/>
      <c r="AX15" s="19" t="n"/>
      <c r="AY15" s="19" t="n"/>
      <c r="AZ15" s="19" t="n"/>
      <c r="BA15" s="19" t="n"/>
      <c r="BB15" s="19" t="n"/>
      <c r="BC15" s="19" t="n"/>
      <c r="BD15" s="19" t="n"/>
      <c r="BE15" s="19" t="n"/>
      <c r="BF15" s="19" t="n"/>
      <c r="BG15" s="19" t="n"/>
      <c r="BH15" s="19" t="n"/>
      <c r="BI15" s="19" t="n"/>
      <c r="BJ15" s="19" t="n"/>
      <c r="BK15" s="19" t="n"/>
      <c r="BL15" s="29" t="n"/>
      <c r="BM15">
        <f>IFERROR(VLOOKUP(BM$6,Hoja1!$F$2:$XFD$61,E15+4,FALSE),0)</f>
        <v/>
      </c>
      <c r="BN15">
        <f>IFERROR(VLOOKUP(BN$6,Hoja1!$F$2:$XFD$61,F15+4,FALSE),0)</f>
        <v/>
      </c>
      <c r="BO15">
        <f>IFERROR(VLOOKUP(BO$6,Hoja1!$F$2:$XFD$61,G15+4,FALSE),0)</f>
        <v/>
      </c>
      <c r="BP15">
        <f>IFERROR(VLOOKUP(BP$6,Hoja1!$F$2:$XFD$61,H15+4,FALSE),0)</f>
        <v/>
      </c>
      <c r="BQ15">
        <f>IFERROR(VLOOKUP(BQ$6,Hoja1!$F$2:$XFD$61,I15+4,FALSE),0)</f>
        <v/>
      </c>
      <c r="BR15">
        <f>IFERROR(VLOOKUP(BR$6,Hoja1!$F$2:$XFD$61,J15+4,FALSE),0)</f>
        <v/>
      </c>
      <c r="BS15">
        <f>IFERROR(VLOOKUP(BS$6,Hoja1!$F$2:$XFD$61,K15+4,FALSE),0)</f>
        <v/>
      </c>
      <c r="BT15">
        <f>IFERROR(VLOOKUP(BT$6,Hoja1!$F$2:$XFD$61,L15+4,FALSE),0)</f>
        <v/>
      </c>
      <c r="BU15">
        <f>IFERROR(VLOOKUP(BU$6,Hoja1!$F$2:$XFD$61,M15+4,FALSE),0)</f>
        <v/>
      </c>
      <c r="BV15">
        <f>IFERROR(VLOOKUP(BV$6,Hoja1!$F$2:$XFD$61,N15+4,FALSE),0)</f>
        <v/>
      </c>
      <c r="BW15">
        <f>IFERROR(VLOOKUP(BW$6,Hoja1!$F$2:$XFD$61,O15+4,FALSE),0)</f>
        <v/>
      </c>
      <c r="BX15">
        <f>IFERROR(VLOOKUP(BX$6,Hoja1!$F$2:$XFD$61,P15+4,FALSE),0)</f>
        <v/>
      </c>
      <c r="BY15">
        <f>IFERROR(VLOOKUP(BY$6,Hoja1!$F$2:$XFD$61,Q15+4,FALSE),0)</f>
        <v/>
      </c>
      <c r="BZ15">
        <f>IFERROR(VLOOKUP(BZ$6,Hoja1!$F$2:$XFD$61,R15+4,FALSE),0)</f>
        <v/>
      </c>
      <c r="CA15">
        <f>IFERROR(VLOOKUP(CA$6,Hoja1!$F$2:$XFD$61,S15+4,FALSE),0)</f>
        <v/>
      </c>
      <c r="CB15">
        <f>IFERROR(VLOOKUP(CB$6,Hoja1!$F$2:$XFD$61,T15+4,FALSE),0)</f>
        <v/>
      </c>
      <c r="CC15">
        <f>IFERROR(VLOOKUP(CC$6,Hoja1!$F$2:$XFD$61,U15+4,FALSE),0)</f>
        <v/>
      </c>
      <c r="CD15">
        <f>IFERROR(VLOOKUP(CD$6,Hoja1!$F$2:$XFD$61,V15+4,FALSE),0)</f>
        <v/>
      </c>
      <c r="CE15">
        <f>IFERROR(VLOOKUP(CE$6,Hoja1!$F$2:$XFD$61,W15+4,FALSE),0)</f>
        <v/>
      </c>
      <c r="CF15">
        <f>IFERROR(VLOOKUP(CF$6,Hoja1!$F$2:$XFD$61,X15+4,FALSE),0)</f>
        <v/>
      </c>
      <c r="CG15">
        <f>IFERROR(VLOOKUP(CG$6,Hoja1!$F$2:$XFD$61,Y15+4,FALSE),0)</f>
        <v/>
      </c>
      <c r="CH15">
        <f>IFERROR(VLOOKUP(CH$6,Hoja1!$F$2:$XFD$61,Z15+4,FALSE),0)</f>
        <v/>
      </c>
      <c r="CI15">
        <f>IFERROR(VLOOKUP(CI$6,Hoja1!$F$2:$XFD$61,AA15+4,FALSE),0)</f>
        <v/>
      </c>
      <c r="CJ15">
        <f>IFERROR(VLOOKUP(CJ$6,Hoja1!$F$2:$XFD$61,AB15+4,FALSE),0)</f>
        <v/>
      </c>
      <c r="CK15">
        <f>IFERROR(VLOOKUP(CK$6,Hoja1!$F$2:$XFD$61,AC15+4,FALSE),0)</f>
        <v/>
      </c>
      <c r="CL15">
        <f>IFERROR(VLOOKUP(CL$6,Hoja1!$F$2:$XFD$61,AD15+4,FALSE),0)</f>
        <v/>
      </c>
      <c r="CM15">
        <f>IFERROR(VLOOKUP(CM$6,Hoja1!$F$2:$XFD$61,AE15+4,FALSE),0)</f>
        <v/>
      </c>
      <c r="CN15">
        <f>IFERROR(VLOOKUP(CN$6,Hoja1!$F$2:$XFD$61,AF15+4,FALSE),0)</f>
        <v/>
      </c>
      <c r="CO15">
        <f>IFERROR(VLOOKUP(CO$6,Hoja1!$F$2:$XFD$61,AG15+4,FALSE),0)</f>
        <v/>
      </c>
      <c r="CP15">
        <f>IFERROR(VLOOKUP(CP$6,Hoja1!$F$2:$XFD$61,AH15+4,FALSE),0)</f>
        <v/>
      </c>
      <c r="CQ15">
        <f>IFERROR(VLOOKUP(CQ$6,Hoja1!$F$2:$XFD$61,AI15+4,FALSE),0)</f>
        <v/>
      </c>
      <c r="CR15">
        <f>IFERROR(VLOOKUP(CR$6,Hoja1!$F$2:$XFD$61,AJ15+4,FALSE),0)</f>
        <v/>
      </c>
      <c r="CS15">
        <f>IFERROR(VLOOKUP(CS$6,Hoja1!$F$2:$XFD$61,AK15+4,FALSE),0)</f>
        <v/>
      </c>
      <c r="CT15">
        <f>IFERROR(VLOOKUP(CT$6,Hoja1!$F$2:$XFD$61,AL15+4,FALSE),0)</f>
        <v/>
      </c>
      <c r="CU15">
        <f>IFERROR(VLOOKUP(CU$6,Hoja1!$F$2:$XFD$61,AM15+4,FALSE),0)</f>
        <v/>
      </c>
      <c r="CV15">
        <f>IFERROR(VLOOKUP(CV$6,Hoja1!$F$2:$XFD$61,AN15+4,FALSE),0)</f>
        <v/>
      </c>
      <c r="CW15">
        <f>IFERROR(VLOOKUP(CW$6,Hoja1!$F$2:$XFD$61,AO15+4,FALSE),0)</f>
        <v/>
      </c>
      <c r="CX15">
        <f>IFERROR(VLOOKUP(CX$6,Hoja1!$F$2:$XFD$61,AP15+4,FALSE),0)</f>
        <v/>
      </c>
      <c r="CY15">
        <f>IFERROR(VLOOKUP(CY$6,Hoja1!$F$2:$XFD$61,AQ15+4,FALSE),0)</f>
        <v/>
      </c>
      <c r="CZ15">
        <f>IFERROR(VLOOKUP(CZ$6,Hoja1!$F$2:$XFD$61,AR15+4,FALSE),0)</f>
        <v/>
      </c>
      <c r="DA15">
        <f>IFERROR(VLOOKUP(DA$6,Hoja1!$F$2:$XFD$61,AS15+4,FALSE),0)</f>
        <v/>
      </c>
      <c r="DB15">
        <f>IFERROR(VLOOKUP(DB$6,Hoja1!$F$2:$XFD$61,AT15+4,FALSE),0)</f>
        <v/>
      </c>
      <c r="DC15">
        <f>IFERROR(VLOOKUP(DC$6,Hoja1!$F$2:$XFD$61,AU15+4,FALSE),0)</f>
        <v/>
      </c>
      <c r="DD15">
        <f>IFERROR(VLOOKUP(DD$6,Hoja1!$F$2:$XFD$61,AV15+4,FALSE),0)</f>
        <v/>
      </c>
      <c r="DE15">
        <f>IFERROR(VLOOKUP(DE$6,Hoja1!$F$2:$XFD$61,AW15+4,FALSE),0)</f>
        <v/>
      </c>
      <c r="DF15">
        <f>IFERROR(VLOOKUP(DF$6,Hoja1!$F$2:$XFD$61,AX15+4,FALSE),0)</f>
        <v/>
      </c>
      <c r="DG15">
        <f>IFERROR(VLOOKUP(DG$6,Hoja1!$F$2:$XFD$61,AY15+4,FALSE),0)</f>
        <v/>
      </c>
      <c r="DH15">
        <f>IFERROR(VLOOKUP(DH$6,Hoja1!$F$2:$XFD$61,AZ15+4,FALSE),0)</f>
        <v/>
      </c>
      <c r="DI15">
        <f>IFERROR(VLOOKUP(DI$6,Hoja1!$F$2:$XFD$61,BA15+4,FALSE),0)</f>
        <v/>
      </c>
      <c r="DJ15">
        <f>IFERROR(VLOOKUP(DJ$6,Hoja1!$F$2:$XFD$61,BB15+4,FALSE),0)</f>
        <v/>
      </c>
      <c r="DK15">
        <f>IFERROR(VLOOKUP(DK$6,Hoja1!$F$2:$XFD$61,BC15+4,FALSE),0)</f>
        <v/>
      </c>
      <c r="DL15">
        <f>IFERROR(VLOOKUP(DL$6,Hoja1!$F$2:$XFD$61,BD15+4,FALSE),0)</f>
        <v/>
      </c>
      <c r="DM15">
        <f>IFERROR(VLOOKUP(DM$6,Hoja1!$F$2:$XFD$61,BE15+4,FALSE),0)</f>
        <v/>
      </c>
      <c r="DN15">
        <f>IFERROR(VLOOKUP(DN$6,Hoja1!$F$2:$XFD$61,BF15+4,FALSE),0)</f>
        <v/>
      </c>
      <c r="DO15">
        <f>IFERROR(VLOOKUP(DO$6,Hoja1!$F$2:$XFD$61,BG15+4,FALSE),0)</f>
        <v/>
      </c>
      <c r="DP15">
        <f>IFERROR(VLOOKUP(DP$6,Hoja1!$F$2:$XFD$61,BH15+4,FALSE),0)</f>
        <v/>
      </c>
      <c r="DQ15">
        <f>IFERROR(VLOOKUP(DQ$6,Hoja1!$F$2:$XFD$61,BI15+4,FALSE),0)</f>
        <v/>
      </c>
      <c r="DR15">
        <f>IFERROR(VLOOKUP(DR$6,Hoja1!$F$2:$XFD$61,BJ15+4,FALSE),0)</f>
        <v/>
      </c>
      <c r="DS15">
        <f>IFERROR(VLOOKUP(DS$6,Hoja1!$F$2:$XFD$61,BK15+4,FALSE),0)</f>
        <v/>
      </c>
      <c r="DT15">
        <f>IFERROR(VLOOKUP(DT$6,Hoja1!$F$2:$XFD$61,BL15+4,FALSE),0)</f>
        <v/>
      </c>
      <c r="DU15" s="15">
        <f>IF(COUNT(E15:BL15)=$DV$7,IF(D15="","indique grupo",SUM(BM15:DT15)),"")</f>
        <v/>
      </c>
      <c r="DV15" s="16">
        <f>IF(D15&lt;&gt;"",IF(DU15="","",IF(DU15&gt;=$DU$7*Hoja1!$E$2,4+3/($DU$7*(1-Hoja1!$E$2))*(DU15-$DU$7*Hoja1!$E$2),1+3/($DU$7*Hoja1!$E$2)*DU15)),DU15)</f>
        <v/>
      </c>
      <c r="DW15" s="47" t="b">
        <v>0</v>
      </c>
    </row>
    <row r="16" ht="23.25" customHeight="1">
      <c r="A16" s="17" t="n">
        <v>7</v>
      </c>
      <c r="B16" s="14" t="inlineStr">
        <is>
          <t>CORONEL RIVERA MARIA JOSE</t>
        </is>
      </c>
      <c r="C16" s="18" t="inlineStr">
        <is>
          <t>189375735</t>
        </is>
      </c>
      <c r="D16" s="1" t="n"/>
      <c r="E16" s="28" t="n"/>
      <c r="F16" s="19" t="n"/>
      <c r="G16" s="19" t="n"/>
      <c r="H16" s="19" t="n"/>
      <c r="I16" s="19" t="n"/>
      <c r="J16" s="19" t="n"/>
      <c r="K16" s="19" t="n"/>
      <c r="L16" s="19" t="n"/>
      <c r="M16" s="19" t="n"/>
      <c r="N16" s="19" t="n"/>
      <c r="O16" s="19" t="n"/>
      <c r="P16" s="19" t="n"/>
      <c r="Q16" s="19" t="n"/>
      <c r="R16" s="19" t="n"/>
      <c r="S16" s="19" t="n"/>
      <c r="T16" s="19" t="n"/>
      <c r="U16" s="19" t="n"/>
      <c r="V16" s="19" t="n"/>
      <c r="W16" s="19" t="n"/>
      <c r="X16" s="19" t="n"/>
      <c r="Y16" s="19" t="n"/>
      <c r="Z16" s="19" t="n"/>
      <c r="AA16" s="19" t="n"/>
      <c r="AB16" s="19" t="n"/>
      <c r="AC16" s="19" t="n"/>
      <c r="AD16" s="19" t="n"/>
      <c r="AE16" s="19" t="n"/>
      <c r="AF16" s="19" t="n"/>
      <c r="AG16" s="19" t="n"/>
      <c r="AH16" s="19" t="n"/>
      <c r="AI16" s="19" t="n"/>
      <c r="AJ16" s="19" t="n"/>
      <c r="AK16" s="19" t="n"/>
      <c r="AL16" s="19" t="n"/>
      <c r="AM16" s="19" t="n"/>
      <c r="AN16" s="19" t="n"/>
      <c r="AO16" s="19" t="n"/>
      <c r="AP16" s="19" t="n"/>
      <c r="AQ16" s="19" t="n"/>
      <c r="AR16" s="19" t="n"/>
      <c r="AS16" s="19" t="n"/>
      <c r="AT16" s="19" t="n"/>
      <c r="AU16" s="19" t="n"/>
      <c r="AV16" s="19" t="n"/>
      <c r="AW16" s="19" t="n"/>
      <c r="AX16" s="19" t="n"/>
      <c r="AY16" s="19" t="n"/>
      <c r="AZ16" s="19" t="n"/>
      <c r="BA16" s="19" t="n"/>
      <c r="BB16" s="19" t="n"/>
      <c r="BC16" s="19" t="n"/>
      <c r="BD16" s="19" t="n"/>
      <c r="BE16" s="19" t="n"/>
      <c r="BF16" s="19" t="n"/>
      <c r="BG16" s="19" t="n"/>
      <c r="BH16" s="19" t="n"/>
      <c r="BI16" s="19" t="n"/>
      <c r="BJ16" s="19" t="n"/>
      <c r="BK16" s="19" t="n"/>
      <c r="BL16" s="29" t="n"/>
      <c r="BM16">
        <f>IFERROR(VLOOKUP(BM$6,Hoja1!$F$2:$XFD$61,E16+4,FALSE),0)</f>
        <v/>
      </c>
      <c r="BN16">
        <f>IFERROR(VLOOKUP(BN$6,Hoja1!$F$2:$XFD$61,F16+4,FALSE),0)</f>
        <v/>
      </c>
      <c r="BO16">
        <f>IFERROR(VLOOKUP(BO$6,Hoja1!$F$2:$XFD$61,G16+4,FALSE),0)</f>
        <v/>
      </c>
      <c r="BP16">
        <f>IFERROR(VLOOKUP(BP$6,Hoja1!$F$2:$XFD$61,H16+4,FALSE),0)</f>
        <v/>
      </c>
      <c r="BQ16">
        <f>IFERROR(VLOOKUP(BQ$6,Hoja1!$F$2:$XFD$61,I16+4,FALSE),0)</f>
        <v/>
      </c>
      <c r="BR16">
        <f>IFERROR(VLOOKUP(BR$6,Hoja1!$F$2:$XFD$61,J16+4,FALSE),0)</f>
        <v/>
      </c>
      <c r="BS16">
        <f>IFERROR(VLOOKUP(BS$6,Hoja1!$F$2:$XFD$61,K16+4,FALSE),0)</f>
        <v/>
      </c>
      <c r="BT16">
        <f>IFERROR(VLOOKUP(BT$6,Hoja1!$F$2:$XFD$61,L16+4,FALSE),0)</f>
        <v/>
      </c>
      <c r="BU16">
        <f>IFERROR(VLOOKUP(BU$6,Hoja1!$F$2:$XFD$61,M16+4,FALSE),0)</f>
        <v/>
      </c>
      <c r="BV16">
        <f>IFERROR(VLOOKUP(BV$6,Hoja1!$F$2:$XFD$61,N16+4,FALSE),0)</f>
        <v/>
      </c>
      <c r="BW16">
        <f>IFERROR(VLOOKUP(BW$6,Hoja1!$F$2:$XFD$61,O16+4,FALSE),0)</f>
        <v/>
      </c>
      <c r="BX16">
        <f>IFERROR(VLOOKUP(BX$6,Hoja1!$F$2:$XFD$61,P16+4,FALSE),0)</f>
        <v/>
      </c>
      <c r="BY16">
        <f>IFERROR(VLOOKUP(BY$6,Hoja1!$F$2:$XFD$61,Q16+4,FALSE),0)</f>
        <v/>
      </c>
      <c r="BZ16">
        <f>IFERROR(VLOOKUP(BZ$6,Hoja1!$F$2:$XFD$61,R16+4,FALSE),0)</f>
        <v/>
      </c>
      <c r="CA16">
        <f>IFERROR(VLOOKUP(CA$6,Hoja1!$F$2:$XFD$61,S16+4,FALSE),0)</f>
        <v/>
      </c>
      <c r="CB16">
        <f>IFERROR(VLOOKUP(CB$6,Hoja1!$F$2:$XFD$61,T16+4,FALSE),0)</f>
        <v/>
      </c>
      <c r="CC16">
        <f>IFERROR(VLOOKUP(CC$6,Hoja1!$F$2:$XFD$61,U16+4,FALSE),0)</f>
        <v/>
      </c>
      <c r="CD16">
        <f>IFERROR(VLOOKUP(CD$6,Hoja1!$F$2:$XFD$61,V16+4,FALSE),0)</f>
        <v/>
      </c>
      <c r="CE16">
        <f>IFERROR(VLOOKUP(CE$6,Hoja1!$F$2:$XFD$61,W16+4,FALSE),0)</f>
        <v/>
      </c>
      <c r="CF16">
        <f>IFERROR(VLOOKUP(CF$6,Hoja1!$F$2:$XFD$61,X16+4,FALSE),0)</f>
        <v/>
      </c>
      <c r="CG16">
        <f>IFERROR(VLOOKUP(CG$6,Hoja1!$F$2:$XFD$61,Y16+4,FALSE),0)</f>
        <v/>
      </c>
      <c r="CH16">
        <f>IFERROR(VLOOKUP(CH$6,Hoja1!$F$2:$XFD$61,Z16+4,FALSE),0)</f>
        <v/>
      </c>
      <c r="CI16">
        <f>IFERROR(VLOOKUP(CI$6,Hoja1!$F$2:$XFD$61,AA16+4,FALSE),0)</f>
        <v/>
      </c>
      <c r="CJ16">
        <f>IFERROR(VLOOKUP(CJ$6,Hoja1!$F$2:$XFD$61,AB16+4,FALSE),0)</f>
        <v/>
      </c>
      <c r="CK16">
        <f>IFERROR(VLOOKUP(CK$6,Hoja1!$F$2:$XFD$61,AC16+4,FALSE),0)</f>
        <v/>
      </c>
      <c r="CL16">
        <f>IFERROR(VLOOKUP(CL$6,Hoja1!$F$2:$XFD$61,AD16+4,FALSE),0)</f>
        <v/>
      </c>
      <c r="CM16">
        <f>IFERROR(VLOOKUP(CM$6,Hoja1!$F$2:$XFD$61,AE16+4,FALSE),0)</f>
        <v/>
      </c>
      <c r="CN16">
        <f>IFERROR(VLOOKUP(CN$6,Hoja1!$F$2:$XFD$61,AF16+4,FALSE),0)</f>
        <v/>
      </c>
      <c r="CO16">
        <f>IFERROR(VLOOKUP(CO$6,Hoja1!$F$2:$XFD$61,AG16+4,FALSE),0)</f>
        <v/>
      </c>
      <c r="CP16">
        <f>IFERROR(VLOOKUP(CP$6,Hoja1!$F$2:$XFD$61,AH16+4,FALSE),0)</f>
        <v/>
      </c>
      <c r="CQ16">
        <f>IFERROR(VLOOKUP(CQ$6,Hoja1!$F$2:$XFD$61,AI16+4,FALSE),0)</f>
        <v/>
      </c>
      <c r="CR16">
        <f>IFERROR(VLOOKUP(CR$6,Hoja1!$F$2:$XFD$61,AJ16+4,FALSE),0)</f>
        <v/>
      </c>
      <c r="CS16">
        <f>IFERROR(VLOOKUP(CS$6,Hoja1!$F$2:$XFD$61,AK16+4,FALSE),0)</f>
        <v/>
      </c>
      <c r="CT16">
        <f>IFERROR(VLOOKUP(CT$6,Hoja1!$F$2:$XFD$61,AL16+4,FALSE),0)</f>
        <v/>
      </c>
      <c r="CU16">
        <f>IFERROR(VLOOKUP(CU$6,Hoja1!$F$2:$XFD$61,AM16+4,FALSE),0)</f>
        <v/>
      </c>
      <c r="CV16">
        <f>IFERROR(VLOOKUP(CV$6,Hoja1!$F$2:$XFD$61,AN16+4,FALSE),0)</f>
        <v/>
      </c>
      <c r="CW16">
        <f>IFERROR(VLOOKUP(CW$6,Hoja1!$F$2:$XFD$61,AO16+4,FALSE),0)</f>
        <v/>
      </c>
      <c r="CX16">
        <f>IFERROR(VLOOKUP(CX$6,Hoja1!$F$2:$XFD$61,AP16+4,FALSE),0)</f>
        <v/>
      </c>
      <c r="CY16">
        <f>IFERROR(VLOOKUP(CY$6,Hoja1!$F$2:$XFD$61,AQ16+4,FALSE),0)</f>
        <v/>
      </c>
      <c r="CZ16">
        <f>IFERROR(VLOOKUP(CZ$6,Hoja1!$F$2:$XFD$61,AR16+4,FALSE),0)</f>
        <v/>
      </c>
      <c r="DA16">
        <f>IFERROR(VLOOKUP(DA$6,Hoja1!$F$2:$XFD$61,AS16+4,FALSE),0)</f>
        <v/>
      </c>
      <c r="DB16">
        <f>IFERROR(VLOOKUP(DB$6,Hoja1!$F$2:$XFD$61,AT16+4,FALSE),0)</f>
        <v/>
      </c>
      <c r="DC16">
        <f>IFERROR(VLOOKUP(DC$6,Hoja1!$F$2:$XFD$61,AU16+4,FALSE),0)</f>
        <v/>
      </c>
      <c r="DD16">
        <f>IFERROR(VLOOKUP(DD$6,Hoja1!$F$2:$XFD$61,AV16+4,FALSE),0)</f>
        <v/>
      </c>
      <c r="DE16">
        <f>IFERROR(VLOOKUP(DE$6,Hoja1!$F$2:$XFD$61,AW16+4,FALSE),0)</f>
        <v/>
      </c>
      <c r="DF16">
        <f>IFERROR(VLOOKUP(DF$6,Hoja1!$F$2:$XFD$61,AX16+4,FALSE),0)</f>
        <v/>
      </c>
      <c r="DG16">
        <f>IFERROR(VLOOKUP(DG$6,Hoja1!$F$2:$XFD$61,AY16+4,FALSE),0)</f>
        <v/>
      </c>
      <c r="DH16">
        <f>IFERROR(VLOOKUP(DH$6,Hoja1!$F$2:$XFD$61,AZ16+4,FALSE),0)</f>
        <v/>
      </c>
      <c r="DI16">
        <f>IFERROR(VLOOKUP(DI$6,Hoja1!$F$2:$XFD$61,BA16+4,FALSE),0)</f>
        <v/>
      </c>
      <c r="DJ16">
        <f>IFERROR(VLOOKUP(DJ$6,Hoja1!$F$2:$XFD$61,BB16+4,FALSE),0)</f>
        <v/>
      </c>
      <c r="DK16">
        <f>IFERROR(VLOOKUP(DK$6,Hoja1!$F$2:$XFD$61,BC16+4,FALSE),0)</f>
        <v/>
      </c>
      <c r="DL16">
        <f>IFERROR(VLOOKUP(DL$6,Hoja1!$F$2:$XFD$61,BD16+4,FALSE),0)</f>
        <v/>
      </c>
      <c r="DM16">
        <f>IFERROR(VLOOKUP(DM$6,Hoja1!$F$2:$XFD$61,BE16+4,FALSE),0)</f>
        <v/>
      </c>
      <c r="DN16">
        <f>IFERROR(VLOOKUP(DN$6,Hoja1!$F$2:$XFD$61,BF16+4,FALSE),0)</f>
        <v/>
      </c>
      <c r="DO16">
        <f>IFERROR(VLOOKUP(DO$6,Hoja1!$F$2:$XFD$61,BG16+4,FALSE),0)</f>
        <v/>
      </c>
      <c r="DP16">
        <f>IFERROR(VLOOKUP(DP$6,Hoja1!$F$2:$XFD$61,BH16+4,FALSE),0)</f>
        <v/>
      </c>
      <c r="DQ16">
        <f>IFERROR(VLOOKUP(DQ$6,Hoja1!$F$2:$XFD$61,BI16+4,FALSE),0)</f>
        <v/>
      </c>
      <c r="DR16">
        <f>IFERROR(VLOOKUP(DR$6,Hoja1!$F$2:$XFD$61,BJ16+4,FALSE),0)</f>
        <v/>
      </c>
      <c r="DS16">
        <f>IFERROR(VLOOKUP(DS$6,Hoja1!$F$2:$XFD$61,BK16+4,FALSE),0)</f>
        <v/>
      </c>
      <c r="DT16">
        <f>IFERROR(VLOOKUP(DT$6,Hoja1!$F$2:$XFD$61,BL16+4,FALSE),0)</f>
        <v/>
      </c>
      <c r="DU16" s="15">
        <f>IF(COUNT(E16:BL16)=$DV$7,IF(D16="","indique grupo",SUM(BM16:DT16)),"")</f>
        <v/>
      </c>
      <c r="DV16" s="16">
        <f>IF(D16&lt;&gt;"",IF(DU16="","",IF(DU16&gt;=$DU$7*Hoja1!$E$2,4+3/($DU$7*(1-Hoja1!$E$2))*(DU16-$DU$7*Hoja1!$E$2),1+3/($DU$7*Hoja1!$E$2)*DU16)),DU16)</f>
        <v/>
      </c>
      <c r="DW16" s="47" t="b">
        <v>0</v>
      </c>
    </row>
    <row r="17" ht="23.25" customHeight="1">
      <c r="A17" s="17" t="n">
        <v>8</v>
      </c>
      <c r="B17" s="18" t="inlineStr">
        <is>
          <t>ESCALONA DURAN JUAN</t>
        </is>
      </c>
      <c r="C17" s="14" t="inlineStr">
        <is>
          <t>17045071K</t>
        </is>
      </c>
      <c r="D17" s="1" t="n"/>
      <c r="E17" s="28" t="n"/>
      <c r="F17" s="19" t="n"/>
      <c r="G17" s="19" t="n"/>
      <c r="H17" s="19" t="n"/>
      <c r="I17" s="19" t="n"/>
      <c r="J17" s="19" t="n"/>
      <c r="K17" s="19" t="n"/>
      <c r="L17" s="19" t="n"/>
      <c r="M17" s="19" t="n"/>
      <c r="N17" s="19" t="n"/>
      <c r="O17" s="19" t="n"/>
      <c r="P17" s="19" t="n"/>
      <c r="Q17" s="19" t="n"/>
      <c r="R17" s="19" t="n"/>
      <c r="S17" s="19" t="n"/>
      <c r="T17" s="19" t="n"/>
      <c r="U17" s="19" t="n"/>
      <c r="V17" s="19" t="n"/>
      <c r="W17" s="19" t="n"/>
      <c r="X17" s="19" t="n"/>
      <c r="Y17" s="19" t="n"/>
      <c r="Z17" s="19" t="n"/>
      <c r="AA17" s="19" t="n"/>
      <c r="AB17" s="19" t="n"/>
      <c r="AC17" s="19" t="n"/>
      <c r="AD17" s="19" t="n"/>
      <c r="AE17" s="19" t="n"/>
      <c r="AF17" s="19" t="n"/>
      <c r="AG17" s="19" t="n"/>
      <c r="AH17" s="19" t="n"/>
      <c r="AI17" s="19" t="n"/>
      <c r="AJ17" s="19" t="n"/>
      <c r="AK17" s="19" t="n"/>
      <c r="AL17" s="19" t="n"/>
      <c r="AM17" s="19" t="n"/>
      <c r="AN17" s="19" t="n"/>
      <c r="AO17" s="19" t="n"/>
      <c r="AP17" s="19" t="n"/>
      <c r="AQ17" s="19" t="n"/>
      <c r="AR17" s="19" t="n"/>
      <c r="AS17" s="19" t="n"/>
      <c r="AT17" s="19" t="n"/>
      <c r="AU17" s="19" t="n"/>
      <c r="AV17" s="19" t="n"/>
      <c r="AW17" s="19" t="n"/>
      <c r="AX17" s="19" t="n"/>
      <c r="AY17" s="19" t="n"/>
      <c r="AZ17" s="19" t="n"/>
      <c r="BA17" s="19" t="n"/>
      <c r="BB17" s="19" t="n"/>
      <c r="BC17" s="19" t="n"/>
      <c r="BD17" s="19" t="n"/>
      <c r="BE17" s="19" t="n"/>
      <c r="BF17" s="19" t="n"/>
      <c r="BG17" s="19" t="n"/>
      <c r="BH17" s="19" t="n"/>
      <c r="BI17" s="19" t="n"/>
      <c r="BJ17" s="19" t="n"/>
      <c r="BK17" s="19" t="n"/>
      <c r="BL17" s="29" t="n"/>
      <c r="BM17">
        <f>IFERROR(VLOOKUP(BM$6,Hoja1!$F$2:$XFD$61,E17+4,FALSE),0)</f>
        <v/>
      </c>
      <c r="BN17">
        <f>IFERROR(VLOOKUP(BN$6,Hoja1!$F$2:$XFD$61,F17+4,FALSE),0)</f>
        <v/>
      </c>
      <c r="BO17">
        <f>IFERROR(VLOOKUP(BO$6,Hoja1!$F$2:$XFD$61,G17+4,FALSE),0)</f>
        <v/>
      </c>
      <c r="BP17">
        <f>IFERROR(VLOOKUP(BP$6,Hoja1!$F$2:$XFD$61,H17+4,FALSE),0)</f>
        <v/>
      </c>
      <c r="BQ17">
        <f>IFERROR(VLOOKUP(BQ$6,Hoja1!$F$2:$XFD$61,I17+4,FALSE),0)</f>
        <v/>
      </c>
      <c r="BR17">
        <f>IFERROR(VLOOKUP(BR$6,Hoja1!$F$2:$XFD$61,J17+4,FALSE),0)</f>
        <v/>
      </c>
      <c r="BS17">
        <f>IFERROR(VLOOKUP(BS$6,Hoja1!$F$2:$XFD$61,K17+4,FALSE),0)</f>
        <v/>
      </c>
      <c r="BT17">
        <f>IFERROR(VLOOKUP(BT$6,Hoja1!$F$2:$XFD$61,L17+4,FALSE),0)</f>
        <v/>
      </c>
      <c r="BU17">
        <f>IFERROR(VLOOKUP(BU$6,Hoja1!$F$2:$XFD$61,M17+4,FALSE),0)</f>
        <v/>
      </c>
      <c r="BV17">
        <f>IFERROR(VLOOKUP(BV$6,Hoja1!$F$2:$XFD$61,N17+4,FALSE),0)</f>
        <v/>
      </c>
      <c r="BW17">
        <f>IFERROR(VLOOKUP(BW$6,Hoja1!$F$2:$XFD$61,O17+4,FALSE),0)</f>
        <v/>
      </c>
      <c r="BX17">
        <f>IFERROR(VLOOKUP(BX$6,Hoja1!$F$2:$XFD$61,P17+4,FALSE),0)</f>
        <v/>
      </c>
      <c r="BY17">
        <f>IFERROR(VLOOKUP(BY$6,Hoja1!$F$2:$XFD$61,Q17+4,FALSE),0)</f>
        <v/>
      </c>
      <c r="BZ17">
        <f>IFERROR(VLOOKUP(BZ$6,Hoja1!$F$2:$XFD$61,R17+4,FALSE),0)</f>
        <v/>
      </c>
      <c r="CA17">
        <f>IFERROR(VLOOKUP(CA$6,Hoja1!$F$2:$XFD$61,S17+4,FALSE),0)</f>
        <v/>
      </c>
      <c r="CB17">
        <f>IFERROR(VLOOKUP(CB$6,Hoja1!$F$2:$XFD$61,T17+4,FALSE),0)</f>
        <v/>
      </c>
      <c r="CC17">
        <f>IFERROR(VLOOKUP(CC$6,Hoja1!$F$2:$XFD$61,U17+4,FALSE),0)</f>
        <v/>
      </c>
      <c r="CD17">
        <f>IFERROR(VLOOKUP(CD$6,Hoja1!$F$2:$XFD$61,V17+4,FALSE),0)</f>
        <v/>
      </c>
      <c r="CE17">
        <f>IFERROR(VLOOKUP(CE$6,Hoja1!$F$2:$XFD$61,W17+4,FALSE),0)</f>
        <v/>
      </c>
      <c r="CF17">
        <f>IFERROR(VLOOKUP(CF$6,Hoja1!$F$2:$XFD$61,X17+4,FALSE),0)</f>
        <v/>
      </c>
      <c r="CG17">
        <f>IFERROR(VLOOKUP(CG$6,Hoja1!$F$2:$XFD$61,Y17+4,FALSE),0)</f>
        <v/>
      </c>
      <c r="CH17">
        <f>IFERROR(VLOOKUP(CH$6,Hoja1!$F$2:$XFD$61,Z17+4,FALSE),0)</f>
        <v/>
      </c>
      <c r="CI17">
        <f>IFERROR(VLOOKUP(CI$6,Hoja1!$F$2:$XFD$61,AA17+4,FALSE),0)</f>
        <v/>
      </c>
      <c r="CJ17">
        <f>IFERROR(VLOOKUP(CJ$6,Hoja1!$F$2:$XFD$61,AB17+4,FALSE),0)</f>
        <v/>
      </c>
      <c r="CK17">
        <f>IFERROR(VLOOKUP(CK$6,Hoja1!$F$2:$XFD$61,AC17+4,FALSE),0)</f>
        <v/>
      </c>
      <c r="CL17">
        <f>IFERROR(VLOOKUP(CL$6,Hoja1!$F$2:$XFD$61,AD17+4,FALSE),0)</f>
        <v/>
      </c>
      <c r="CM17">
        <f>IFERROR(VLOOKUP(CM$6,Hoja1!$F$2:$XFD$61,AE17+4,FALSE),0)</f>
        <v/>
      </c>
      <c r="CN17">
        <f>IFERROR(VLOOKUP(CN$6,Hoja1!$F$2:$XFD$61,AF17+4,FALSE),0)</f>
        <v/>
      </c>
      <c r="CO17">
        <f>IFERROR(VLOOKUP(CO$6,Hoja1!$F$2:$XFD$61,AG17+4,FALSE),0)</f>
        <v/>
      </c>
      <c r="CP17">
        <f>IFERROR(VLOOKUP(CP$6,Hoja1!$F$2:$XFD$61,AH17+4,FALSE),0)</f>
        <v/>
      </c>
      <c r="CQ17">
        <f>IFERROR(VLOOKUP(CQ$6,Hoja1!$F$2:$XFD$61,AI17+4,FALSE),0)</f>
        <v/>
      </c>
      <c r="CR17">
        <f>IFERROR(VLOOKUP(CR$6,Hoja1!$F$2:$XFD$61,AJ17+4,FALSE),0)</f>
        <v/>
      </c>
      <c r="CS17">
        <f>IFERROR(VLOOKUP(CS$6,Hoja1!$F$2:$XFD$61,AK17+4,FALSE),0)</f>
        <v/>
      </c>
      <c r="CT17">
        <f>IFERROR(VLOOKUP(CT$6,Hoja1!$F$2:$XFD$61,AL17+4,FALSE),0)</f>
        <v/>
      </c>
      <c r="CU17">
        <f>IFERROR(VLOOKUP(CU$6,Hoja1!$F$2:$XFD$61,AM17+4,FALSE),0)</f>
        <v/>
      </c>
      <c r="CV17">
        <f>IFERROR(VLOOKUP(CV$6,Hoja1!$F$2:$XFD$61,AN17+4,FALSE),0)</f>
        <v/>
      </c>
      <c r="CW17">
        <f>IFERROR(VLOOKUP(CW$6,Hoja1!$F$2:$XFD$61,AO17+4,FALSE),0)</f>
        <v/>
      </c>
      <c r="CX17">
        <f>IFERROR(VLOOKUP(CX$6,Hoja1!$F$2:$XFD$61,AP17+4,FALSE),0)</f>
        <v/>
      </c>
      <c r="CY17">
        <f>IFERROR(VLOOKUP(CY$6,Hoja1!$F$2:$XFD$61,AQ17+4,FALSE),0)</f>
        <v/>
      </c>
      <c r="CZ17">
        <f>IFERROR(VLOOKUP(CZ$6,Hoja1!$F$2:$XFD$61,AR17+4,FALSE),0)</f>
        <v/>
      </c>
      <c r="DA17">
        <f>IFERROR(VLOOKUP(DA$6,Hoja1!$F$2:$XFD$61,AS17+4,FALSE),0)</f>
        <v/>
      </c>
      <c r="DB17">
        <f>IFERROR(VLOOKUP(DB$6,Hoja1!$F$2:$XFD$61,AT17+4,FALSE),0)</f>
        <v/>
      </c>
      <c r="DC17">
        <f>IFERROR(VLOOKUP(DC$6,Hoja1!$F$2:$XFD$61,AU17+4,FALSE),0)</f>
        <v/>
      </c>
      <c r="DD17">
        <f>IFERROR(VLOOKUP(DD$6,Hoja1!$F$2:$XFD$61,AV17+4,FALSE),0)</f>
        <v/>
      </c>
      <c r="DE17">
        <f>IFERROR(VLOOKUP(DE$6,Hoja1!$F$2:$XFD$61,AW17+4,FALSE),0)</f>
        <v/>
      </c>
      <c r="DF17">
        <f>IFERROR(VLOOKUP(DF$6,Hoja1!$F$2:$XFD$61,AX17+4,FALSE),0)</f>
        <v/>
      </c>
      <c r="DG17">
        <f>IFERROR(VLOOKUP(DG$6,Hoja1!$F$2:$XFD$61,AY17+4,FALSE),0)</f>
        <v/>
      </c>
      <c r="DH17">
        <f>IFERROR(VLOOKUP(DH$6,Hoja1!$F$2:$XFD$61,AZ17+4,FALSE),0)</f>
        <v/>
      </c>
      <c r="DI17">
        <f>IFERROR(VLOOKUP(DI$6,Hoja1!$F$2:$XFD$61,BA17+4,FALSE),0)</f>
        <v/>
      </c>
      <c r="DJ17">
        <f>IFERROR(VLOOKUP(DJ$6,Hoja1!$F$2:$XFD$61,BB17+4,FALSE),0)</f>
        <v/>
      </c>
      <c r="DK17">
        <f>IFERROR(VLOOKUP(DK$6,Hoja1!$F$2:$XFD$61,BC17+4,FALSE),0)</f>
        <v/>
      </c>
      <c r="DL17">
        <f>IFERROR(VLOOKUP(DL$6,Hoja1!$F$2:$XFD$61,BD17+4,FALSE),0)</f>
        <v/>
      </c>
      <c r="DM17">
        <f>IFERROR(VLOOKUP(DM$6,Hoja1!$F$2:$XFD$61,BE17+4,FALSE),0)</f>
        <v/>
      </c>
      <c r="DN17">
        <f>IFERROR(VLOOKUP(DN$6,Hoja1!$F$2:$XFD$61,BF17+4,FALSE),0)</f>
        <v/>
      </c>
      <c r="DO17">
        <f>IFERROR(VLOOKUP(DO$6,Hoja1!$F$2:$XFD$61,BG17+4,FALSE),0)</f>
        <v/>
      </c>
      <c r="DP17">
        <f>IFERROR(VLOOKUP(DP$6,Hoja1!$F$2:$XFD$61,BH17+4,FALSE),0)</f>
        <v/>
      </c>
      <c r="DQ17">
        <f>IFERROR(VLOOKUP(DQ$6,Hoja1!$F$2:$XFD$61,BI17+4,FALSE),0)</f>
        <v/>
      </c>
      <c r="DR17">
        <f>IFERROR(VLOOKUP(DR$6,Hoja1!$F$2:$XFD$61,BJ17+4,FALSE),0)</f>
        <v/>
      </c>
      <c r="DS17">
        <f>IFERROR(VLOOKUP(DS$6,Hoja1!$F$2:$XFD$61,BK17+4,FALSE),0)</f>
        <v/>
      </c>
      <c r="DT17">
        <f>IFERROR(VLOOKUP(DT$6,Hoja1!$F$2:$XFD$61,BL17+4,FALSE),0)</f>
        <v/>
      </c>
      <c r="DU17" s="15">
        <f>IF(COUNT(E17:BL17)=$DV$7,IF(D17="","indique grupo",SUM(BM17:DT17)),"")</f>
        <v/>
      </c>
      <c r="DV17" s="16">
        <f>IF(D17&lt;&gt;"",IF(DU17="","",IF(DU17&gt;=$DU$7*Hoja1!$E$2,4+3/($DU$7*(1-Hoja1!$E$2))*(DU17-$DU$7*Hoja1!$E$2),1+3/($DU$7*Hoja1!$E$2)*DU17)),DU17)</f>
        <v/>
      </c>
      <c r="DW17" s="47" t="b">
        <v>0</v>
      </c>
    </row>
    <row r="18" ht="23.25" customHeight="1">
      <c r="A18" s="17" t="n">
        <v>9</v>
      </c>
      <c r="B18" s="14" t="inlineStr">
        <is>
          <t>FERRADA MANSILLA GUILLERMO ALFREDO</t>
        </is>
      </c>
      <c r="C18" s="14" t="inlineStr">
        <is>
          <t>204381003</t>
        </is>
      </c>
      <c r="D18" s="1" t="n"/>
      <c r="E18" s="28" t="n"/>
      <c r="F18" s="19" t="n"/>
      <c r="G18" s="19" t="n"/>
      <c r="H18" s="19" t="n"/>
      <c r="I18" s="19" t="n"/>
      <c r="J18" s="19" t="n"/>
      <c r="K18" s="19" t="n"/>
      <c r="L18" s="19" t="n"/>
      <c r="M18" s="19" t="n"/>
      <c r="N18" s="19" t="n"/>
      <c r="O18" s="19" t="n"/>
      <c r="P18" s="19" t="n"/>
      <c r="Q18" s="19" t="n"/>
      <c r="R18" s="19" t="n"/>
      <c r="S18" s="19" t="n"/>
      <c r="T18" s="19" t="n"/>
      <c r="U18" s="19" t="n"/>
      <c r="V18" s="19" t="n"/>
      <c r="W18" s="19" t="n"/>
      <c r="X18" s="19" t="n"/>
      <c r="Y18" s="19" t="n"/>
      <c r="Z18" s="19" t="n"/>
      <c r="AA18" s="19" t="n"/>
      <c r="AB18" s="19" t="n"/>
      <c r="AC18" s="19" t="n"/>
      <c r="AD18" s="19" t="n"/>
      <c r="AE18" s="19" t="n"/>
      <c r="AF18" s="19" t="n"/>
      <c r="AG18" s="19" t="n"/>
      <c r="AH18" s="19" t="n"/>
      <c r="AI18" s="19" t="n"/>
      <c r="AJ18" s="19" t="n"/>
      <c r="AK18" s="19" t="n"/>
      <c r="AL18" s="19" t="n"/>
      <c r="AM18" s="19" t="n"/>
      <c r="AN18" s="19" t="n"/>
      <c r="AO18" s="19" t="n"/>
      <c r="AP18" s="19" t="n"/>
      <c r="AQ18" s="19" t="n"/>
      <c r="AR18" s="19" t="n"/>
      <c r="AS18" s="19" t="n"/>
      <c r="AT18" s="19" t="n"/>
      <c r="AU18" s="19" t="n"/>
      <c r="AV18" s="19" t="n"/>
      <c r="AW18" s="19" t="n"/>
      <c r="AX18" s="19" t="n"/>
      <c r="AY18" s="19" t="n"/>
      <c r="AZ18" s="19" t="n"/>
      <c r="BA18" s="19" t="n"/>
      <c r="BB18" s="19" t="n"/>
      <c r="BC18" s="19" t="n"/>
      <c r="BD18" s="19" t="n"/>
      <c r="BE18" s="19" t="n"/>
      <c r="BF18" s="19" t="n"/>
      <c r="BG18" s="19" t="n"/>
      <c r="BH18" s="19" t="n"/>
      <c r="BI18" s="19" t="n"/>
      <c r="BJ18" s="19" t="n"/>
      <c r="BK18" s="19" t="n"/>
      <c r="BL18" s="29" t="n"/>
      <c r="BM18">
        <f>IFERROR(VLOOKUP(BM$6,Hoja1!$F$2:$XFD$61,E18+4,FALSE),0)</f>
        <v/>
      </c>
      <c r="BN18">
        <f>IFERROR(VLOOKUP(BN$6,Hoja1!$F$2:$XFD$61,F18+4,FALSE),0)</f>
        <v/>
      </c>
      <c r="BO18">
        <f>IFERROR(VLOOKUP(BO$6,Hoja1!$F$2:$XFD$61,G18+4,FALSE),0)</f>
        <v/>
      </c>
      <c r="BP18">
        <f>IFERROR(VLOOKUP(BP$6,Hoja1!$F$2:$XFD$61,H18+4,FALSE),0)</f>
        <v/>
      </c>
      <c r="BQ18">
        <f>IFERROR(VLOOKUP(BQ$6,Hoja1!$F$2:$XFD$61,I18+4,FALSE),0)</f>
        <v/>
      </c>
      <c r="BR18">
        <f>IFERROR(VLOOKUP(BR$6,Hoja1!$F$2:$XFD$61,J18+4,FALSE),0)</f>
        <v/>
      </c>
      <c r="BS18">
        <f>IFERROR(VLOOKUP(BS$6,Hoja1!$F$2:$XFD$61,K18+4,FALSE),0)</f>
        <v/>
      </c>
      <c r="BT18">
        <f>IFERROR(VLOOKUP(BT$6,Hoja1!$F$2:$XFD$61,L18+4,FALSE),0)</f>
        <v/>
      </c>
      <c r="BU18">
        <f>IFERROR(VLOOKUP(BU$6,Hoja1!$F$2:$XFD$61,M18+4,FALSE),0)</f>
        <v/>
      </c>
      <c r="BV18">
        <f>IFERROR(VLOOKUP(BV$6,Hoja1!$F$2:$XFD$61,N18+4,FALSE),0)</f>
        <v/>
      </c>
      <c r="BW18">
        <f>IFERROR(VLOOKUP(BW$6,Hoja1!$F$2:$XFD$61,O18+4,FALSE),0)</f>
        <v/>
      </c>
      <c r="BX18">
        <f>IFERROR(VLOOKUP(BX$6,Hoja1!$F$2:$XFD$61,P18+4,FALSE),0)</f>
        <v/>
      </c>
      <c r="BY18">
        <f>IFERROR(VLOOKUP(BY$6,Hoja1!$F$2:$XFD$61,Q18+4,FALSE),0)</f>
        <v/>
      </c>
      <c r="BZ18">
        <f>IFERROR(VLOOKUP(BZ$6,Hoja1!$F$2:$XFD$61,R18+4,FALSE),0)</f>
        <v/>
      </c>
      <c r="CA18">
        <f>IFERROR(VLOOKUP(CA$6,Hoja1!$F$2:$XFD$61,S18+4,FALSE),0)</f>
        <v/>
      </c>
      <c r="CB18">
        <f>IFERROR(VLOOKUP(CB$6,Hoja1!$F$2:$XFD$61,T18+4,FALSE),0)</f>
        <v/>
      </c>
      <c r="CC18">
        <f>IFERROR(VLOOKUP(CC$6,Hoja1!$F$2:$XFD$61,U18+4,FALSE),0)</f>
        <v/>
      </c>
      <c r="CD18">
        <f>IFERROR(VLOOKUP(CD$6,Hoja1!$F$2:$XFD$61,V18+4,FALSE),0)</f>
        <v/>
      </c>
      <c r="CE18">
        <f>IFERROR(VLOOKUP(CE$6,Hoja1!$F$2:$XFD$61,W18+4,FALSE),0)</f>
        <v/>
      </c>
      <c r="CF18">
        <f>IFERROR(VLOOKUP(CF$6,Hoja1!$F$2:$XFD$61,X18+4,FALSE),0)</f>
        <v/>
      </c>
      <c r="CG18">
        <f>IFERROR(VLOOKUP(CG$6,Hoja1!$F$2:$XFD$61,Y18+4,FALSE),0)</f>
        <v/>
      </c>
      <c r="CH18">
        <f>IFERROR(VLOOKUP(CH$6,Hoja1!$F$2:$XFD$61,Z18+4,FALSE),0)</f>
        <v/>
      </c>
      <c r="CI18">
        <f>IFERROR(VLOOKUP(CI$6,Hoja1!$F$2:$XFD$61,AA18+4,FALSE),0)</f>
        <v/>
      </c>
      <c r="CJ18">
        <f>IFERROR(VLOOKUP(CJ$6,Hoja1!$F$2:$XFD$61,AB18+4,FALSE),0)</f>
        <v/>
      </c>
      <c r="CK18">
        <f>IFERROR(VLOOKUP(CK$6,Hoja1!$F$2:$XFD$61,AC18+4,FALSE),0)</f>
        <v/>
      </c>
      <c r="CL18">
        <f>IFERROR(VLOOKUP(CL$6,Hoja1!$F$2:$XFD$61,AD18+4,FALSE),0)</f>
        <v/>
      </c>
      <c r="CM18">
        <f>IFERROR(VLOOKUP(CM$6,Hoja1!$F$2:$XFD$61,AE18+4,FALSE),0)</f>
        <v/>
      </c>
      <c r="CN18">
        <f>IFERROR(VLOOKUP(CN$6,Hoja1!$F$2:$XFD$61,AF18+4,FALSE),0)</f>
        <v/>
      </c>
      <c r="CO18">
        <f>IFERROR(VLOOKUP(CO$6,Hoja1!$F$2:$XFD$61,AG18+4,FALSE),0)</f>
        <v/>
      </c>
      <c r="CP18">
        <f>IFERROR(VLOOKUP(CP$6,Hoja1!$F$2:$XFD$61,AH18+4,FALSE),0)</f>
        <v/>
      </c>
      <c r="CQ18">
        <f>IFERROR(VLOOKUP(CQ$6,Hoja1!$F$2:$XFD$61,AI18+4,FALSE),0)</f>
        <v/>
      </c>
      <c r="CR18">
        <f>IFERROR(VLOOKUP(CR$6,Hoja1!$F$2:$XFD$61,AJ18+4,FALSE),0)</f>
        <v/>
      </c>
      <c r="CS18">
        <f>IFERROR(VLOOKUP(CS$6,Hoja1!$F$2:$XFD$61,AK18+4,FALSE),0)</f>
        <v/>
      </c>
      <c r="CT18">
        <f>IFERROR(VLOOKUP(CT$6,Hoja1!$F$2:$XFD$61,AL18+4,FALSE),0)</f>
        <v/>
      </c>
      <c r="CU18">
        <f>IFERROR(VLOOKUP(CU$6,Hoja1!$F$2:$XFD$61,AM18+4,FALSE),0)</f>
        <v/>
      </c>
      <c r="CV18">
        <f>IFERROR(VLOOKUP(CV$6,Hoja1!$F$2:$XFD$61,AN18+4,FALSE),0)</f>
        <v/>
      </c>
      <c r="CW18">
        <f>IFERROR(VLOOKUP(CW$6,Hoja1!$F$2:$XFD$61,AO18+4,FALSE),0)</f>
        <v/>
      </c>
      <c r="CX18">
        <f>IFERROR(VLOOKUP(CX$6,Hoja1!$F$2:$XFD$61,AP18+4,FALSE),0)</f>
        <v/>
      </c>
      <c r="CY18">
        <f>IFERROR(VLOOKUP(CY$6,Hoja1!$F$2:$XFD$61,AQ18+4,FALSE),0)</f>
        <v/>
      </c>
      <c r="CZ18">
        <f>IFERROR(VLOOKUP(CZ$6,Hoja1!$F$2:$XFD$61,AR18+4,FALSE),0)</f>
        <v/>
      </c>
      <c r="DA18">
        <f>IFERROR(VLOOKUP(DA$6,Hoja1!$F$2:$XFD$61,AS18+4,FALSE),0)</f>
        <v/>
      </c>
      <c r="DB18">
        <f>IFERROR(VLOOKUP(DB$6,Hoja1!$F$2:$XFD$61,AT18+4,FALSE),0)</f>
        <v/>
      </c>
      <c r="DC18">
        <f>IFERROR(VLOOKUP(DC$6,Hoja1!$F$2:$XFD$61,AU18+4,FALSE),0)</f>
        <v/>
      </c>
      <c r="DD18">
        <f>IFERROR(VLOOKUP(DD$6,Hoja1!$F$2:$XFD$61,AV18+4,FALSE),0)</f>
        <v/>
      </c>
      <c r="DE18">
        <f>IFERROR(VLOOKUP(DE$6,Hoja1!$F$2:$XFD$61,AW18+4,FALSE),0)</f>
        <v/>
      </c>
      <c r="DF18">
        <f>IFERROR(VLOOKUP(DF$6,Hoja1!$F$2:$XFD$61,AX18+4,FALSE),0)</f>
        <v/>
      </c>
      <c r="DG18">
        <f>IFERROR(VLOOKUP(DG$6,Hoja1!$F$2:$XFD$61,AY18+4,FALSE),0)</f>
        <v/>
      </c>
      <c r="DH18">
        <f>IFERROR(VLOOKUP(DH$6,Hoja1!$F$2:$XFD$61,AZ18+4,FALSE),0)</f>
        <v/>
      </c>
      <c r="DI18">
        <f>IFERROR(VLOOKUP(DI$6,Hoja1!$F$2:$XFD$61,BA18+4,FALSE),0)</f>
        <v/>
      </c>
      <c r="DJ18">
        <f>IFERROR(VLOOKUP(DJ$6,Hoja1!$F$2:$XFD$61,BB18+4,FALSE),0)</f>
        <v/>
      </c>
      <c r="DK18">
        <f>IFERROR(VLOOKUP(DK$6,Hoja1!$F$2:$XFD$61,BC18+4,FALSE),0)</f>
        <v/>
      </c>
      <c r="DL18">
        <f>IFERROR(VLOOKUP(DL$6,Hoja1!$F$2:$XFD$61,BD18+4,FALSE),0)</f>
        <v/>
      </c>
      <c r="DM18">
        <f>IFERROR(VLOOKUP(DM$6,Hoja1!$F$2:$XFD$61,BE18+4,FALSE),0)</f>
        <v/>
      </c>
      <c r="DN18">
        <f>IFERROR(VLOOKUP(DN$6,Hoja1!$F$2:$XFD$61,BF18+4,FALSE),0)</f>
        <v/>
      </c>
      <c r="DO18">
        <f>IFERROR(VLOOKUP(DO$6,Hoja1!$F$2:$XFD$61,BG18+4,FALSE),0)</f>
        <v/>
      </c>
      <c r="DP18">
        <f>IFERROR(VLOOKUP(DP$6,Hoja1!$F$2:$XFD$61,BH18+4,FALSE),0)</f>
        <v/>
      </c>
      <c r="DQ18">
        <f>IFERROR(VLOOKUP(DQ$6,Hoja1!$F$2:$XFD$61,BI18+4,FALSE),0)</f>
        <v/>
      </c>
      <c r="DR18">
        <f>IFERROR(VLOOKUP(DR$6,Hoja1!$F$2:$XFD$61,BJ18+4,FALSE),0)</f>
        <v/>
      </c>
      <c r="DS18">
        <f>IFERROR(VLOOKUP(DS$6,Hoja1!$F$2:$XFD$61,BK18+4,FALSE),0)</f>
        <v/>
      </c>
      <c r="DT18">
        <f>IFERROR(VLOOKUP(DT$6,Hoja1!$F$2:$XFD$61,BL18+4,FALSE),0)</f>
        <v/>
      </c>
      <c r="DU18" s="15">
        <f>IF(COUNT(E18:BL18)=$DV$7,IF(D18="","indique grupo",SUM(BM18:DT18)),"")</f>
        <v/>
      </c>
      <c r="DV18" s="16">
        <f>IF(D18&lt;&gt;"",IF(DU18="","",IF(DU18&gt;=$DU$7*Hoja1!$E$2,4+3/($DU$7*(1-Hoja1!$E$2))*(DU18-$DU$7*Hoja1!$E$2),1+3/($DU$7*Hoja1!$E$2)*DU18)),DU18)</f>
        <v/>
      </c>
      <c r="DW18" s="47" t="b">
        <v>0</v>
      </c>
    </row>
    <row r="19" ht="23.25" customHeight="1">
      <c r="A19" s="17" t="n">
        <v>10</v>
      </c>
      <c r="B19" s="18" t="inlineStr">
        <is>
          <t>FUENTES ORELLANA BENJAMIN MAURICIO</t>
        </is>
      </c>
      <c r="C19" s="18" t="inlineStr">
        <is>
          <t>213543849</t>
        </is>
      </c>
      <c r="D19" s="1" t="n"/>
      <c r="E19" s="28" t="n"/>
      <c r="F19" s="19" t="n"/>
      <c r="G19" s="19" t="n"/>
      <c r="H19" s="19" t="n"/>
      <c r="I19" s="19" t="n"/>
      <c r="J19" s="19" t="n"/>
      <c r="K19" s="19" t="n"/>
      <c r="L19" s="19" t="n"/>
      <c r="M19" s="19" t="n"/>
      <c r="N19" s="19" t="n"/>
      <c r="O19" s="19" t="n"/>
      <c r="P19" s="19" t="n"/>
      <c r="Q19" s="19" t="n"/>
      <c r="R19" s="19" t="n"/>
      <c r="S19" s="19" t="n"/>
      <c r="T19" s="19" t="n"/>
      <c r="U19" s="19" t="n"/>
      <c r="V19" s="19" t="n"/>
      <c r="W19" s="19" t="n"/>
      <c r="X19" s="19" t="n"/>
      <c r="Y19" s="19" t="n"/>
      <c r="Z19" s="19" t="n"/>
      <c r="AA19" s="19" t="n"/>
      <c r="AB19" s="19" t="n"/>
      <c r="AC19" s="19" t="n"/>
      <c r="AD19" s="19" t="n"/>
      <c r="AE19" s="19" t="n"/>
      <c r="AF19" s="19" t="n"/>
      <c r="AG19" s="19" t="n"/>
      <c r="AH19" s="19" t="n"/>
      <c r="AI19" s="19" t="n"/>
      <c r="AJ19" s="19" t="n"/>
      <c r="AK19" s="19" t="n"/>
      <c r="AL19" s="19" t="n"/>
      <c r="AM19" s="19" t="n"/>
      <c r="AN19" s="19" t="n"/>
      <c r="AO19" s="19" t="n"/>
      <c r="AP19" s="19" t="n"/>
      <c r="AQ19" s="19" t="n"/>
      <c r="AR19" s="19" t="n"/>
      <c r="AS19" s="19" t="n"/>
      <c r="AT19" s="19" t="n"/>
      <c r="AU19" s="19" t="n"/>
      <c r="AV19" s="19" t="n"/>
      <c r="AW19" s="19" t="n"/>
      <c r="AX19" s="19" t="n"/>
      <c r="AY19" s="19" t="n"/>
      <c r="AZ19" s="19" t="n"/>
      <c r="BA19" s="19" t="n"/>
      <c r="BB19" s="19" t="n"/>
      <c r="BC19" s="19" t="n"/>
      <c r="BD19" s="19" t="n"/>
      <c r="BE19" s="19" t="n"/>
      <c r="BF19" s="19" t="n"/>
      <c r="BG19" s="19" t="n"/>
      <c r="BH19" s="19" t="n"/>
      <c r="BI19" s="19" t="n"/>
      <c r="BJ19" s="19" t="n"/>
      <c r="BK19" s="19" t="n"/>
      <c r="BL19" s="29" t="n"/>
      <c r="BM19">
        <f>IFERROR(VLOOKUP(BM$6,Hoja1!$F$2:$XFD$61,E19+4,FALSE),0)</f>
        <v/>
      </c>
      <c r="BN19">
        <f>IFERROR(VLOOKUP(BN$6,Hoja1!$F$2:$XFD$61,F19+4,FALSE),0)</f>
        <v/>
      </c>
      <c r="BO19">
        <f>IFERROR(VLOOKUP(BO$6,Hoja1!$F$2:$XFD$61,G19+4,FALSE),0)</f>
        <v/>
      </c>
      <c r="BP19">
        <f>IFERROR(VLOOKUP(BP$6,Hoja1!$F$2:$XFD$61,H19+4,FALSE),0)</f>
        <v/>
      </c>
      <c r="BQ19">
        <f>IFERROR(VLOOKUP(BQ$6,Hoja1!$F$2:$XFD$61,I19+4,FALSE),0)</f>
        <v/>
      </c>
      <c r="BR19">
        <f>IFERROR(VLOOKUP(BR$6,Hoja1!$F$2:$XFD$61,J19+4,FALSE),0)</f>
        <v/>
      </c>
      <c r="BS19">
        <f>IFERROR(VLOOKUP(BS$6,Hoja1!$F$2:$XFD$61,K19+4,FALSE),0)</f>
        <v/>
      </c>
      <c r="BT19">
        <f>IFERROR(VLOOKUP(BT$6,Hoja1!$F$2:$XFD$61,L19+4,FALSE),0)</f>
        <v/>
      </c>
      <c r="BU19">
        <f>IFERROR(VLOOKUP(BU$6,Hoja1!$F$2:$XFD$61,M19+4,FALSE),0)</f>
        <v/>
      </c>
      <c r="BV19">
        <f>IFERROR(VLOOKUP(BV$6,Hoja1!$F$2:$XFD$61,N19+4,FALSE),0)</f>
        <v/>
      </c>
      <c r="BW19">
        <f>IFERROR(VLOOKUP(BW$6,Hoja1!$F$2:$XFD$61,O19+4,FALSE),0)</f>
        <v/>
      </c>
      <c r="BX19">
        <f>IFERROR(VLOOKUP(BX$6,Hoja1!$F$2:$XFD$61,P19+4,FALSE),0)</f>
        <v/>
      </c>
      <c r="BY19">
        <f>IFERROR(VLOOKUP(BY$6,Hoja1!$F$2:$XFD$61,Q19+4,FALSE),0)</f>
        <v/>
      </c>
      <c r="BZ19">
        <f>IFERROR(VLOOKUP(BZ$6,Hoja1!$F$2:$XFD$61,R19+4,FALSE),0)</f>
        <v/>
      </c>
      <c r="CA19">
        <f>IFERROR(VLOOKUP(CA$6,Hoja1!$F$2:$XFD$61,S19+4,FALSE),0)</f>
        <v/>
      </c>
      <c r="CB19">
        <f>IFERROR(VLOOKUP(CB$6,Hoja1!$F$2:$XFD$61,T19+4,FALSE),0)</f>
        <v/>
      </c>
      <c r="CC19">
        <f>IFERROR(VLOOKUP(CC$6,Hoja1!$F$2:$XFD$61,U19+4,FALSE),0)</f>
        <v/>
      </c>
      <c r="CD19">
        <f>IFERROR(VLOOKUP(CD$6,Hoja1!$F$2:$XFD$61,V19+4,FALSE),0)</f>
        <v/>
      </c>
      <c r="CE19">
        <f>IFERROR(VLOOKUP(CE$6,Hoja1!$F$2:$XFD$61,W19+4,FALSE),0)</f>
        <v/>
      </c>
      <c r="CF19">
        <f>IFERROR(VLOOKUP(CF$6,Hoja1!$F$2:$XFD$61,X19+4,FALSE),0)</f>
        <v/>
      </c>
      <c r="CG19">
        <f>IFERROR(VLOOKUP(CG$6,Hoja1!$F$2:$XFD$61,Y19+4,FALSE),0)</f>
        <v/>
      </c>
      <c r="CH19">
        <f>IFERROR(VLOOKUP(CH$6,Hoja1!$F$2:$XFD$61,Z19+4,FALSE),0)</f>
        <v/>
      </c>
      <c r="CI19">
        <f>IFERROR(VLOOKUP(CI$6,Hoja1!$F$2:$XFD$61,AA19+4,FALSE),0)</f>
        <v/>
      </c>
      <c r="CJ19">
        <f>IFERROR(VLOOKUP(CJ$6,Hoja1!$F$2:$XFD$61,AB19+4,FALSE),0)</f>
        <v/>
      </c>
      <c r="CK19">
        <f>IFERROR(VLOOKUP(CK$6,Hoja1!$F$2:$XFD$61,AC19+4,FALSE),0)</f>
        <v/>
      </c>
      <c r="CL19">
        <f>IFERROR(VLOOKUP(CL$6,Hoja1!$F$2:$XFD$61,AD19+4,FALSE),0)</f>
        <v/>
      </c>
      <c r="CM19">
        <f>IFERROR(VLOOKUP(CM$6,Hoja1!$F$2:$XFD$61,AE19+4,FALSE),0)</f>
        <v/>
      </c>
      <c r="CN19">
        <f>IFERROR(VLOOKUP(CN$6,Hoja1!$F$2:$XFD$61,AF19+4,FALSE),0)</f>
        <v/>
      </c>
      <c r="CO19">
        <f>IFERROR(VLOOKUP(CO$6,Hoja1!$F$2:$XFD$61,AG19+4,FALSE),0)</f>
        <v/>
      </c>
      <c r="CP19">
        <f>IFERROR(VLOOKUP(CP$6,Hoja1!$F$2:$XFD$61,AH19+4,FALSE),0)</f>
        <v/>
      </c>
      <c r="CQ19">
        <f>IFERROR(VLOOKUP(CQ$6,Hoja1!$F$2:$XFD$61,AI19+4,FALSE),0)</f>
        <v/>
      </c>
      <c r="CR19">
        <f>IFERROR(VLOOKUP(CR$6,Hoja1!$F$2:$XFD$61,AJ19+4,FALSE),0)</f>
        <v/>
      </c>
      <c r="CS19">
        <f>IFERROR(VLOOKUP(CS$6,Hoja1!$F$2:$XFD$61,AK19+4,FALSE),0)</f>
        <v/>
      </c>
      <c r="CT19">
        <f>IFERROR(VLOOKUP(CT$6,Hoja1!$F$2:$XFD$61,AL19+4,FALSE),0)</f>
        <v/>
      </c>
      <c r="CU19">
        <f>IFERROR(VLOOKUP(CU$6,Hoja1!$F$2:$XFD$61,AM19+4,FALSE),0)</f>
        <v/>
      </c>
      <c r="CV19">
        <f>IFERROR(VLOOKUP(CV$6,Hoja1!$F$2:$XFD$61,AN19+4,FALSE),0)</f>
        <v/>
      </c>
      <c r="CW19">
        <f>IFERROR(VLOOKUP(CW$6,Hoja1!$F$2:$XFD$61,AO19+4,FALSE),0)</f>
        <v/>
      </c>
      <c r="CX19">
        <f>IFERROR(VLOOKUP(CX$6,Hoja1!$F$2:$XFD$61,AP19+4,FALSE),0)</f>
        <v/>
      </c>
      <c r="CY19">
        <f>IFERROR(VLOOKUP(CY$6,Hoja1!$F$2:$XFD$61,AQ19+4,FALSE),0)</f>
        <v/>
      </c>
      <c r="CZ19">
        <f>IFERROR(VLOOKUP(CZ$6,Hoja1!$F$2:$XFD$61,AR19+4,FALSE),0)</f>
        <v/>
      </c>
      <c r="DA19">
        <f>IFERROR(VLOOKUP(DA$6,Hoja1!$F$2:$XFD$61,AS19+4,FALSE),0)</f>
        <v/>
      </c>
      <c r="DB19">
        <f>IFERROR(VLOOKUP(DB$6,Hoja1!$F$2:$XFD$61,AT19+4,FALSE),0)</f>
        <v/>
      </c>
      <c r="DC19">
        <f>IFERROR(VLOOKUP(DC$6,Hoja1!$F$2:$XFD$61,AU19+4,FALSE),0)</f>
        <v/>
      </c>
      <c r="DD19">
        <f>IFERROR(VLOOKUP(DD$6,Hoja1!$F$2:$XFD$61,AV19+4,FALSE),0)</f>
        <v/>
      </c>
      <c r="DE19">
        <f>IFERROR(VLOOKUP(DE$6,Hoja1!$F$2:$XFD$61,AW19+4,FALSE),0)</f>
        <v/>
      </c>
      <c r="DF19">
        <f>IFERROR(VLOOKUP(DF$6,Hoja1!$F$2:$XFD$61,AX19+4,FALSE),0)</f>
        <v/>
      </c>
      <c r="DG19">
        <f>IFERROR(VLOOKUP(DG$6,Hoja1!$F$2:$XFD$61,AY19+4,FALSE),0)</f>
        <v/>
      </c>
      <c r="DH19">
        <f>IFERROR(VLOOKUP(DH$6,Hoja1!$F$2:$XFD$61,AZ19+4,FALSE),0)</f>
        <v/>
      </c>
      <c r="DI19">
        <f>IFERROR(VLOOKUP(DI$6,Hoja1!$F$2:$XFD$61,BA19+4,FALSE),0)</f>
        <v/>
      </c>
      <c r="DJ19">
        <f>IFERROR(VLOOKUP(DJ$6,Hoja1!$F$2:$XFD$61,BB19+4,FALSE),0)</f>
        <v/>
      </c>
      <c r="DK19">
        <f>IFERROR(VLOOKUP(DK$6,Hoja1!$F$2:$XFD$61,BC19+4,FALSE),0)</f>
        <v/>
      </c>
      <c r="DL19">
        <f>IFERROR(VLOOKUP(DL$6,Hoja1!$F$2:$XFD$61,BD19+4,FALSE),0)</f>
        <v/>
      </c>
      <c r="DM19">
        <f>IFERROR(VLOOKUP(DM$6,Hoja1!$F$2:$XFD$61,BE19+4,FALSE),0)</f>
        <v/>
      </c>
      <c r="DN19">
        <f>IFERROR(VLOOKUP(DN$6,Hoja1!$F$2:$XFD$61,BF19+4,FALSE),0)</f>
        <v/>
      </c>
      <c r="DO19">
        <f>IFERROR(VLOOKUP(DO$6,Hoja1!$F$2:$XFD$61,BG19+4,FALSE),0)</f>
        <v/>
      </c>
      <c r="DP19">
        <f>IFERROR(VLOOKUP(DP$6,Hoja1!$F$2:$XFD$61,BH19+4,FALSE),0)</f>
        <v/>
      </c>
      <c r="DQ19">
        <f>IFERROR(VLOOKUP(DQ$6,Hoja1!$F$2:$XFD$61,BI19+4,FALSE),0)</f>
        <v/>
      </c>
      <c r="DR19">
        <f>IFERROR(VLOOKUP(DR$6,Hoja1!$F$2:$XFD$61,BJ19+4,FALSE),0)</f>
        <v/>
      </c>
      <c r="DS19">
        <f>IFERROR(VLOOKUP(DS$6,Hoja1!$F$2:$XFD$61,BK19+4,FALSE),0)</f>
        <v/>
      </c>
      <c r="DT19">
        <f>IFERROR(VLOOKUP(DT$6,Hoja1!$F$2:$XFD$61,BL19+4,FALSE),0)</f>
        <v/>
      </c>
      <c r="DU19" s="15">
        <f>IF(COUNT(E19:BL19)=$DV$7,IF(D19="","indique grupo",SUM(BM19:DT19)),"")</f>
        <v/>
      </c>
      <c r="DV19" s="16">
        <f>IF(D19&lt;&gt;"",IF(DU19="","",IF(DU19&gt;=$DU$7*Hoja1!$E$2,4+3/($DU$7*(1-Hoja1!$E$2))*(DU19-$DU$7*Hoja1!$E$2),1+3/($DU$7*Hoja1!$E$2)*DU19)),DU19)</f>
        <v/>
      </c>
      <c r="DW19" s="47" t="b">
        <v>0</v>
      </c>
    </row>
    <row r="20" ht="23.25" customHeight="1">
      <c r="A20" s="17" t="n">
        <v>11</v>
      </c>
      <c r="B20" s="18" t="inlineStr">
        <is>
          <t>FUENTES VALENZUELA MARCO ANDRES</t>
        </is>
      </c>
      <c r="C20" s="18" t="inlineStr">
        <is>
          <t>181471077</t>
        </is>
      </c>
      <c r="D20" s="1" t="n"/>
      <c r="E20" s="28" t="n"/>
      <c r="F20" s="19" t="n"/>
      <c r="G20" s="19" t="n"/>
      <c r="H20" s="19" t="n"/>
      <c r="I20" s="19" t="n"/>
      <c r="J20" s="19" t="n"/>
      <c r="K20" s="19" t="n"/>
      <c r="L20" s="19" t="n"/>
      <c r="M20" s="19" t="n"/>
      <c r="N20" s="19" t="n"/>
      <c r="O20" s="19" t="n"/>
      <c r="P20" s="19" t="n"/>
      <c r="Q20" s="19" t="n"/>
      <c r="R20" s="19" t="n"/>
      <c r="S20" s="19" t="n"/>
      <c r="T20" s="19" t="n"/>
      <c r="U20" s="19" t="n"/>
      <c r="V20" s="19" t="n"/>
      <c r="W20" s="19" t="n"/>
      <c r="X20" s="19" t="n"/>
      <c r="Y20" s="19" t="n"/>
      <c r="Z20" s="19" t="n"/>
      <c r="AA20" s="19" t="n"/>
      <c r="AB20" s="19" t="n"/>
      <c r="AC20" s="19" t="n"/>
      <c r="AD20" s="19" t="n"/>
      <c r="AE20" s="19" t="n"/>
      <c r="AF20" s="19" t="n"/>
      <c r="AG20" s="19" t="n"/>
      <c r="AH20" s="19" t="n"/>
      <c r="AI20" s="19" t="n"/>
      <c r="AJ20" s="19" t="n"/>
      <c r="AK20" s="19" t="n"/>
      <c r="AL20" s="19" t="n"/>
      <c r="AM20" s="19" t="n"/>
      <c r="AN20" s="19" t="n"/>
      <c r="AO20" s="19" t="n"/>
      <c r="AP20" s="19" t="n"/>
      <c r="AQ20" s="19" t="n"/>
      <c r="AR20" s="19" t="n"/>
      <c r="AS20" s="19" t="n"/>
      <c r="AT20" s="19" t="n"/>
      <c r="AU20" s="19" t="n"/>
      <c r="AV20" s="19" t="n"/>
      <c r="AW20" s="19" t="n"/>
      <c r="AX20" s="19" t="n"/>
      <c r="AY20" s="19" t="n"/>
      <c r="AZ20" s="19" t="n"/>
      <c r="BA20" s="19" t="n"/>
      <c r="BB20" s="19" t="n"/>
      <c r="BC20" s="19" t="n"/>
      <c r="BD20" s="19" t="n"/>
      <c r="BE20" s="19" t="n"/>
      <c r="BF20" s="19" t="n"/>
      <c r="BG20" s="19" t="n"/>
      <c r="BH20" s="19" t="n"/>
      <c r="BI20" s="19" t="n"/>
      <c r="BJ20" s="19" t="n"/>
      <c r="BK20" s="19" t="n"/>
      <c r="BL20" s="29" t="n"/>
      <c r="BM20">
        <f>IFERROR(VLOOKUP(BM$6,Hoja1!$F$2:$XFD$61,E20+4,FALSE),0)</f>
        <v/>
      </c>
      <c r="BN20">
        <f>IFERROR(VLOOKUP(BN$6,Hoja1!$F$2:$XFD$61,F20+4,FALSE),0)</f>
        <v/>
      </c>
      <c r="BO20">
        <f>IFERROR(VLOOKUP(BO$6,Hoja1!$F$2:$XFD$61,G20+4,FALSE),0)</f>
        <v/>
      </c>
      <c r="BP20">
        <f>IFERROR(VLOOKUP(BP$6,Hoja1!$F$2:$XFD$61,H20+4,FALSE),0)</f>
        <v/>
      </c>
      <c r="BQ20">
        <f>IFERROR(VLOOKUP(BQ$6,Hoja1!$F$2:$XFD$61,I20+4,FALSE),0)</f>
        <v/>
      </c>
      <c r="BR20">
        <f>IFERROR(VLOOKUP(BR$6,Hoja1!$F$2:$XFD$61,J20+4,FALSE),0)</f>
        <v/>
      </c>
      <c r="BS20">
        <f>IFERROR(VLOOKUP(BS$6,Hoja1!$F$2:$XFD$61,K20+4,FALSE),0)</f>
        <v/>
      </c>
      <c r="BT20">
        <f>IFERROR(VLOOKUP(BT$6,Hoja1!$F$2:$XFD$61,L20+4,FALSE),0)</f>
        <v/>
      </c>
      <c r="BU20">
        <f>IFERROR(VLOOKUP(BU$6,Hoja1!$F$2:$XFD$61,M20+4,FALSE),0)</f>
        <v/>
      </c>
      <c r="BV20">
        <f>IFERROR(VLOOKUP(BV$6,Hoja1!$F$2:$XFD$61,N20+4,FALSE),0)</f>
        <v/>
      </c>
      <c r="BW20">
        <f>IFERROR(VLOOKUP(BW$6,Hoja1!$F$2:$XFD$61,O20+4,FALSE),0)</f>
        <v/>
      </c>
      <c r="BX20">
        <f>IFERROR(VLOOKUP(BX$6,Hoja1!$F$2:$XFD$61,P20+4,FALSE),0)</f>
        <v/>
      </c>
      <c r="BY20">
        <f>IFERROR(VLOOKUP(BY$6,Hoja1!$F$2:$XFD$61,Q20+4,FALSE),0)</f>
        <v/>
      </c>
      <c r="BZ20">
        <f>IFERROR(VLOOKUP(BZ$6,Hoja1!$F$2:$XFD$61,R20+4,FALSE),0)</f>
        <v/>
      </c>
      <c r="CA20">
        <f>IFERROR(VLOOKUP(CA$6,Hoja1!$F$2:$XFD$61,S20+4,FALSE),0)</f>
        <v/>
      </c>
      <c r="CB20">
        <f>IFERROR(VLOOKUP(CB$6,Hoja1!$F$2:$XFD$61,T20+4,FALSE),0)</f>
        <v/>
      </c>
      <c r="CC20">
        <f>IFERROR(VLOOKUP(CC$6,Hoja1!$F$2:$XFD$61,U20+4,FALSE),0)</f>
        <v/>
      </c>
      <c r="CD20">
        <f>IFERROR(VLOOKUP(CD$6,Hoja1!$F$2:$XFD$61,V20+4,FALSE),0)</f>
        <v/>
      </c>
      <c r="CE20">
        <f>IFERROR(VLOOKUP(CE$6,Hoja1!$F$2:$XFD$61,W20+4,FALSE),0)</f>
        <v/>
      </c>
      <c r="CF20">
        <f>IFERROR(VLOOKUP(CF$6,Hoja1!$F$2:$XFD$61,X20+4,FALSE),0)</f>
        <v/>
      </c>
      <c r="CG20">
        <f>IFERROR(VLOOKUP(CG$6,Hoja1!$F$2:$XFD$61,Y20+4,FALSE),0)</f>
        <v/>
      </c>
      <c r="CH20">
        <f>IFERROR(VLOOKUP(CH$6,Hoja1!$F$2:$XFD$61,Z20+4,FALSE),0)</f>
        <v/>
      </c>
      <c r="CI20">
        <f>IFERROR(VLOOKUP(CI$6,Hoja1!$F$2:$XFD$61,AA20+4,FALSE),0)</f>
        <v/>
      </c>
      <c r="CJ20">
        <f>IFERROR(VLOOKUP(CJ$6,Hoja1!$F$2:$XFD$61,AB20+4,FALSE),0)</f>
        <v/>
      </c>
      <c r="CK20">
        <f>IFERROR(VLOOKUP(CK$6,Hoja1!$F$2:$XFD$61,AC20+4,FALSE),0)</f>
        <v/>
      </c>
      <c r="CL20">
        <f>IFERROR(VLOOKUP(CL$6,Hoja1!$F$2:$XFD$61,AD20+4,FALSE),0)</f>
        <v/>
      </c>
      <c r="CM20">
        <f>IFERROR(VLOOKUP(CM$6,Hoja1!$F$2:$XFD$61,AE20+4,FALSE),0)</f>
        <v/>
      </c>
      <c r="CN20">
        <f>IFERROR(VLOOKUP(CN$6,Hoja1!$F$2:$XFD$61,AF20+4,FALSE),0)</f>
        <v/>
      </c>
      <c r="CO20">
        <f>IFERROR(VLOOKUP(CO$6,Hoja1!$F$2:$XFD$61,AG20+4,FALSE),0)</f>
        <v/>
      </c>
      <c r="CP20">
        <f>IFERROR(VLOOKUP(CP$6,Hoja1!$F$2:$XFD$61,AH20+4,FALSE),0)</f>
        <v/>
      </c>
      <c r="CQ20">
        <f>IFERROR(VLOOKUP(CQ$6,Hoja1!$F$2:$XFD$61,AI20+4,FALSE),0)</f>
        <v/>
      </c>
      <c r="CR20">
        <f>IFERROR(VLOOKUP(CR$6,Hoja1!$F$2:$XFD$61,AJ20+4,FALSE),0)</f>
        <v/>
      </c>
      <c r="CS20">
        <f>IFERROR(VLOOKUP(CS$6,Hoja1!$F$2:$XFD$61,AK20+4,FALSE),0)</f>
        <v/>
      </c>
      <c r="CT20">
        <f>IFERROR(VLOOKUP(CT$6,Hoja1!$F$2:$XFD$61,AL20+4,FALSE),0)</f>
        <v/>
      </c>
      <c r="CU20">
        <f>IFERROR(VLOOKUP(CU$6,Hoja1!$F$2:$XFD$61,AM20+4,FALSE),0)</f>
        <v/>
      </c>
      <c r="CV20">
        <f>IFERROR(VLOOKUP(CV$6,Hoja1!$F$2:$XFD$61,AN20+4,FALSE),0)</f>
        <v/>
      </c>
      <c r="CW20">
        <f>IFERROR(VLOOKUP(CW$6,Hoja1!$F$2:$XFD$61,AO20+4,FALSE),0)</f>
        <v/>
      </c>
      <c r="CX20">
        <f>IFERROR(VLOOKUP(CX$6,Hoja1!$F$2:$XFD$61,AP20+4,FALSE),0)</f>
        <v/>
      </c>
      <c r="CY20">
        <f>IFERROR(VLOOKUP(CY$6,Hoja1!$F$2:$XFD$61,AQ20+4,FALSE),0)</f>
        <v/>
      </c>
      <c r="CZ20">
        <f>IFERROR(VLOOKUP(CZ$6,Hoja1!$F$2:$XFD$61,AR20+4,FALSE),0)</f>
        <v/>
      </c>
      <c r="DA20">
        <f>IFERROR(VLOOKUP(DA$6,Hoja1!$F$2:$XFD$61,AS20+4,FALSE),0)</f>
        <v/>
      </c>
      <c r="DB20">
        <f>IFERROR(VLOOKUP(DB$6,Hoja1!$F$2:$XFD$61,AT20+4,FALSE),0)</f>
        <v/>
      </c>
      <c r="DC20">
        <f>IFERROR(VLOOKUP(DC$6,Hoja1!$F$2:$XFD$61,AU20+4,FALSE),0)</f>
        <v/>
      </c>
      <c r="DD20">
        <f>IFERROR(VLOOKUP(DD$6,Hoja1!$F$2:$XFD$61,AV20+4,FALSE),0)</f>
        <v/>
      </c>
      <c r="DE20">
        <f>IFERROR(VLOOKUP(DE$6,Hoja1!$F$2:$XFD$61,AW20+4,FALSE),0)</f>
        <v/>
      </c>
      <c r="DF20">
        <f>IFERROR(VLOOKUP(DF$6,Hoja1!$F$2:$XFD$61,AX20+4,FALSE),0)</f>
        <v/>
      </c>
      <c r="DG20">
        <f>IFERROR(VLOOKUP(DG$6,Hoja1!$F$2:$XFD$61,AY20+4,FALSE),0)</f>
        <v/>
      </c>
      <c r="DH20">
        <f>IFERROR(VLOOKUP(DH$6,Hoja1!$F$2:$XFD$61,AZ20+4,FALSE),0)</f>
        <v/>
      </c>
      <c r="DI20">
        <f>IFERROR(VLOOKUP(DI$6,Hoja1!$F$2:$XFD$61,BA20+4,FALSE),0)</f>
        <v/>
      </c>
      <c r="DJ20">
        <f>IFERROR(VLOOKUP(DJ$6,Hoja1!$F$2:$XFD$61,BB20+4,FALSE),0)</f>
        <v/>
      </c>
      <c r="DK20">
        <f>IFERROR(VLOOKUP(DK$6,Hoja1!$F$2:$XFD$61,BC20+4,FALSE),0)</f>
        <v/>
      </c>
      <c r="DL20">
        <f>IFERROR(VLOOKUP(DL$6,Hoja1!$F$2:$XFD$61,BD20+4,FALSE),0)</f>
        <v/>
      </c>
      <c r="DM20">
        <f>IFERROR(VLOOKUP(DM$6,Hoja1!$F$2:$XFD$61,BE20+4,FALSE),0)</f>
        <v/>
      </c>
      <c r="DN20">
        <f>IFERROR(VLOOKUP(DN$6,Hoja1!$F$2:$XFD$61,BF20+4,FALSE),0)</f>
        <v/>
      </c>
      <c r="DO20">
        <f>IFERROR(VLOOKUP(DO$6,Hoja1!$F$2:$XFD$61,BG20+4,FALSE),0)</f>
        <v/>
      </c>
      <c r="DP20">
        <f>IFERROR(VLOOKUP(DP$6,Hoja1!$F$2:$XFD$61,BH20+4,FALSE),0)</f>
        <v/>
      </c>
      <c r="DQ20">
        <f>IFERROR(VLOOKUP(DQ$6,Hoja1!$F$2:$XFD$61,BI20+4,FALSE),0)</f>
        <v/>
      </c>
      <c r="DR20">
        <f>IFERROR(VLOOKUP(DR$6,Hoja1!$F$2:$XFD$61,BJ20+4,FALSE),0)</f>
        <v/>
      </c>
      <c r="DS20">
        <f>IFERROR(VLOOKUP(DS$6,Hoja1!$F$2:$XFD$61,BK20+4,FALSE),0)</f>
        <v/>
      </c>
      <c r="DT20">
        <f>IFERROR(VLOOKUP(DT$6,Hoja1!$F$2:$XFD$61,BL20+4,FALSE),0)</f>
        <v/>
      </c>
      <c r="DU20" s="15">
        <f>IF(COUNT(E20:BL20)=$DV$7,IF(D20="","indique grupo",SUM(BM20:DT20)),"")</f>
        <v/>
      </c>
      <c r="DV20" s="16">
        <f>IF(D20&lt;&gt;"",IF(DU20="","",IF(DU20&gt;=$DU$7*Hoja1!$E$2,4+3/($DU$7*(1-Hoja1!$E$2))*(DU20-$DU$7*Hoja1!$E$2),1+3/($DU$7*Hoja1!$E$2)*DU20)),DU20)</f>
        <v/>
      </c>
      <c r="DW20" s="47" t="b">
        <v>0</v>
      </c>
    </row>
    <row r="21" ht="23.25" customHeight="1">
      <c r="A21" s="17" t="n">
        <v>12</v>
      </c>
      <c r="B21" s="18" t="inlineStr">
        <is>
          <t>HERMOSILLA GOMEZ PEDRO AARON</t>
        </is>
      </c>
      <c r="C21" s="18" t="inlineStr">
        <is>
          <t>191578341</t>
        </is>
      </c>
      <c r="D21" s="1" t="n"/>
      <c r="E21" s="28" t="n"/>
      <c r="F21" s="19" t="n"/>
      <c r="G21" s="19" t="n"/>
      <c r="H21" s="19" t="n"/>
      <c r="I21" s="19" t="n"/>
      <c r="J21" s="19" t="n"/>
      <c r="K21" s="19" t="n"/>
      <c r="L21" s="19" t="n"/>
      <c r="M21" s="19" t="n"/>
      <c r="N21" s="19" t="n"/>
      <c r="O21" s="19" t="n"/>
      <c r="P21" s="19" t="n"/>
      <c r="Q21" s="19" t="n"/>
      <c r="R21" s="19" t="n"/>
      <c r="S21" s="19" t="n"/>
      <c r="T21" s="19" t="n"/>
      <c r="U21" s="19" t="n"/>
      <c r="V21" s="19" t="n"/>
      <c r="W21" s="19" t="n"/>
      <c r="X21" s="19" t="n"/>
      <c r="Y21" s="19" t="n"/>
      <c r="Z21" s="19" t="n"/>
      <c r="AA21" s="19" t="n"/>
      <c r="AB21" s="19" t="n"/>
      <c r="AC21" s="19" t="n"/>
      <c r="AD21" s="19" t="n"/>
      <c r="AE21" s="19" t="n"/>
      <c r="AF21" s="19" t="n"/>
      <c r="AG21" s="19" t="n"/>
      <c r="AH21" s="19" t="n"/>
      <c r="AI21" s="19" t="n"/>
      <c r="AJ21" s="19" t="n"/>
      <c r="AK21" s="19" t="n"/>
      <c r="AL21" s="19" t="n"/>
      <c r="AM21" s="19" t="n"/>
      <c r="AN21" s="19" t="n"/>
      <c r="AO21" s="19" t="n"/>
      <c r="AP21" s="19" t="n"/>
      <c r="AQ21" s="19" t="n"/>
      <c r="AR21" s="19" t="n"/>
      <c r="AS21" s="19" t="n"/>
      <c r="AT21" s="19" t="n"/>
      <c r="AU21" s="19" t="n"/>
      <c r="AV21" s="19" t="n"/>
      <c r="AW21" s="19" t="n"/>
      <c r="AX21" s="19" t="n"/>
      <c r="AY21" s="19" t="n"/>
      <c r="AZ21" s="19" t="n"/>
      <c r="BA21" s="19" t="n"/>
      <c r="BB21" s="19" t="n"/>
      <c r="BC21" s="19" t="n"/>
      <c r="BD21" s="19" t="n"/>
      <c r="BE21" s="19" t="n"/>
      <c r="BF21" s="19" t="n"/>
      <c r="BG21" s="19" t="n"/>
      <c r="BH21" s="19" t="n"/>
      <c r="BI21" s="19" t="n"/>
      <c r="BJ21" s="19" t="n"/>
      <c r="BK21" s="19" t="n"/>
      <c r="BL21" s="29" t="n"/>
      <c r="BM21">
        <f>IFERROR(VLOOKUP(BM$6,Hoja1!$F$2:$XFD$61,E21+4,FALSE),0)</f>
        <v/>
      </c>
      <c r="BN21">
        <f>IFERROR(VLOOKUP(BN$6,Hoja1!$F$2:$XFD$61,F21+4,FALSE),0)</f>
        <v/>
      </c>
      <c r="BO21">
        <f>IFERROR(VLOOKUP(BO$6,Hoja1!$F$2:$XFD$61,G21+4,FALSE),0)</f>
        <v/>
      </c>
      <c r="BP21">
        <f>IFERROR(VLOOKUP(BP$6,Hoja1!$F$2:$XFD$61,H21+4,FALSE),0)</f>
        <v/>
      </c>
      <c r="BQ21">
        <f>IFERROR(VLOOKUP(BQ$6,Hoja1!$F$2:$XFD$61,I21+4,FALSE),0)</f>
        <v/>
      </c>
      <c r="BR21">
        <f>IFERROR(VLOOKUP(BR$6,Hoja1!$F$2:$XFD$61,J21+4,FALSE),0)</f>
        <v/>
      </c>
      <c r="BS21">
        <f>IFERROR(VLOOKUP(BS$6,Hoja1!$F$2:$XFD$61,K21+4,FALSE),0)</f>
        <v/>
      </c>
      <c r="BT21">
        <f>IFERROR(VLOOKUP(BT$6,Hoja1!$F$2:$XFD$61,L21+4,FALSE),0)</f>
        <v/>
      </c>
      <c r="BU21">
        <f>IFERROR(VLOOKUP(BU$6,Hoja1!$F$2:$XFD$61,M21+4,FALSE),0)</f>
        <v/>
      </c>
      <c r="BV21">
        <f>IFERROR(VLOOKUP(BV$6,Hoja1!$F$2:$XFD$61,N21+4,FALSE),0)</f>
        <v/>
      </c>
      <c r="BW21">
        <f>IFERROR(VLOOKUP(BW$6,Hoja1!$F$2:$XFD$61,O21+4,FALSE),0)</f>
        <v/>
      </c>
      <c r="BX21">
        <f>IFERROR(VLOOKUP(BX$6,Hoja1!$F$2:$XFD$61,P21+4,FALSE),0)</f>
        <v/>
      </c>
      <c r="BY21">
        <f>IFERROR(VLOOKUP(BY$6,Hoja1!$F$2:$XFD$61,Q21+4,FALSE),0)</f>
        <v/>
      </c>
      <c r="BZ21">
        <f>IFERROR(VLOOKUP(BZ$6,Hoja1!$F$2:$XFD$61,R21+4,FALSE),0)</f>
        <v/>
      </c>
      <c r="CA21">
        <f>IFERROR(VLOOKUP(CA$6,Hoja1!$F$2:$XFD$61,S21+4,FALSE),0)</f>
        <v/>
      </c>
      <c r="CB21">
        <f>IFERROR(VLOOKUP(CB$6,Hoja1!$F$2:$XFD$61,T21+4,FALSE),0)</f>
        <v/>
      </c>
      <c r="CC21">
        <f>IFERROR(VLOOKUP(CC$6,Hoja1!$F$2:$XFD$61,U21+4,FALSE),0)</f>
        <v/>
      </c>
      <c r="CD21">
        <f>IFERROR(VLOOKUP(CD$6,Hoja1!$F$2:$XFD$61,V21+4,FALSE),0)</f>
        <v/>
      </c>
      <c r="CE21">
        <f>IFERROR(VLOOKUP(CE$6,Hoja1!$F$2:$XFD$61,W21+4,FALSE),0)</f>
        <v/>
      </c>
      <c r="CF21">
        <f>IFERROR(VLOOKUP(CF$6,Hoja1!$F$2:$XFD$61,X21+4,FALSE),0)</f>
        <v/>
      </c>
      <c r="CG21">
        <f>IFERROR(VLOOKUP(CG$6,Hoja1!$F$2:$XFD$61,Y21+4,FALSE),0)</f>
        <v/>
      </c>
      <c r="CH21">
        <f>IFERROR(VLOOKUP(CH$6,Hoja1!$F$2:$XFD$61,Z21+4,FALSE),0)</f>
        <v/>
      </c>
      <c r="CI21">
        <f>IFERROR(VLOOKUP(CI$6,Hoja1!$F$2:$XFD$61,AA21+4,FALSE),0)</f>
        <v/>
      </c>
      <c r="CJ21">
        <f>IFERROR(VLOOKUP(CJ$6,Hoja1!$F$2:$XFD$61,AB21+4,FALSE),0)</f>
        <v/>
      </c>
      <c r="CK21">
        <f>IFERROR(VLOOKUP(CK$6,Hoja1!$F$2:$XFD$61,AC21+4,FALSE),0)</f>
        <v/>
      </c>
      <c r="CL21">
        <f>IFERROR(VLOOKUP(CL$6,Hoja1!$F$2:$XFD$61,AD21+4,FALSE),0)</f>
        <v/>
      </c>
      <c r="CM21">
        <f>IFERROR(VLOOKUP(CM$6,Hoja1!$F$2:$XFD$61,AE21+4,FALSE),0)</f>
        <v/>
      </c>
      <c r="CN21">
        <f>IFERROR(VLOOKUP(CN$6,Hoja1!$F$2:$XFD$61,AF21+4,FALSE),0)</f>
        <v/>
      </c>
      <c r="CO21">
        <f>IFERROR(VLOOKUP(CO$6,Hoja1!$F$2:$XFD$61,AG21+4,FALSE),0)</f>
        <v/>
      </c>
      <c r="CP21">
        <f>IFERROR(VLOOKUP(CP$6,Hoja1!$F$2:$XFD$61,AH21+4,FALSE),0)</f>
        <v/>
      </c>
      <c r="CQ21">
        <f>IFERROR(VLOOKUP(CQ$6,Hoja1!$F$2:$XFD$61,AI21+4,FALSE),0)</f>
        <v/>
      </c>
      <c r="CR21">
        <f>IFERROR(VLOOKUP(CR$6,Hoja1!$F$2:$XFD$61,AJ21+4,FALSE),0)</f>
        <v/>
      </c>
      <c r="CS21">
        <f>IFERROR(VLOOKUP(CS$6,Hoja1!$F$2:$XFD$61,AK21+4,FALSE),0)</f>
        <v/>
      </c>
      <c r="CT21">
        <f>IFERROR(VLOOKUP(CT$6,Hoja1!$F$2:$XFD$61,AL21+4,FALSE),0)</f>
        <v/>
      </c>
      <c r="CU21">
        <f>IFERROR(VLOOKUP(CU$6,Hoja1!$F$2:$XFD$61,AM21+4,FALSE),0)</f>
        <v/>
      </c>
      <c r="CV21">
        <f>IFERROR(VLOOKUP(CV$6,Hoja1!$F$2:$XFD$61,AN21+4,FALSE),0)</f>
        <v/>
      </c>
      <c r="CW21">
        <f>IFERROR(VLOOKUP(CW$6,Hoja1!$F$2:$XFD$61,AO21+4,FALSE),0)</f>
        <v/>
      </c>
      <c r="CX21">
        <f>IFERROR(VLOOKUP(CX$6,Hoja1!$F$2:$XFD$61,AP21+4,FALSE),0)</f>
        <v/>
      </c>
      <c r="CY21">
        <f>IFERROR(VLOOKUP(CY$6,Hoja1!$F$2:$XFD$61,AQ21+4,FALSE),0)</f>
        <v/>
      </c>
      <c r="CZ21">
        <f>IFERROR(VLOOKUP(CZ$6,Hoja1!$F$2:$XFD$61,AR21+4,FALSE),0)</f>
        <v/>
      </c>
      <c r="DA21">
        <f>IFERROR(VLOOKUP(DA$6,Hoja1!$F$2:$XFD$61,AS21+4,FALSE),0)</f>
        <v/>
      </c>
      <c r="DB21">
        <f>IFERROR(VLOOKUP(DB$6,Hoja1!$F$2:$XFD$61,AT21+4,FALSE),0)</f>
        <v/>
      </c>
      <c r="DC21">
        <f>IFERROR(VLOOKUP(DC$6,Hoja1!$F$2:$XFD$61,AU21+4,FALSE),0)</f>
        <v/>
      </c>
      <c r="DD21">
        <f>IFERROR(VLOOKUP(DD$6,Hoja1!$F$2:$XFD$61,AV21+4,FALSE),0)</f>
        <v/>
      </c>
      <c r="DE21">
        <f>IFERROR(VLOOKUP(DE$6,Hoja1!$F$2:$XFD$61,AW21+4,FALSE),0)</f>
        <v/>
      </c>
      <c r="DF21">
        <f>IFERROR(VLOOKUP(DF$6,Hoja1!$F$2:$XFD$61,AX21+4,FALSE),0)</f>
        <v/>
      </c>
      <c r="DG21">
        <f>IFERROR(VLOOKUP(DG$6,Hoja1!$F$2:$XFD$61,AY21+4,FALSE),0)</f>
        <v/>
      </c>
      <c r="DH21">
        <f>IFERROR(VLOOKUP(DH$6,Hoja1!$F$2:$XFD$61,AZ21+4,FALSE),0)</f>
        <v/>
      </c>
      <c r="DI21">
        <f>IFERROR(VLOOKUP(DI$6,Hoja1!$F$2:$XFD$61,BA21+4,FALSE),0)</f>
        <v/>
      </c>
      <c r="DJ21">
        <f>IFERROR(VLOOKUP(DJ$6,Hoja1!$F$2:$XFD$61,BB21+4,FALSE),0)</f>
        <v/>
      </c>
      <c r="DK21">
        <f>IFERROR(VLOOKUP(DK$6,Hoja1!$F$2:$XFD$61,BC21+4,FALSE),0)</f>
        <v/>
      </c>
      <c r="DL21">
        <f>IFERROR(VLOOKUP(DL$6,Hoja1!$F$2:$XFD$61,BD21+4,FALSE),0)</f>
        <v/>
      </c>
      <c r="DM21">
        <f>IFERROR(VLOOKUP(DM$6,Hoja1!$F$2:$XFD$61,BE21+4,FALSE),0)</f>
        <v/>
      </c>
      <c r="DN21">
        <f>IFERROR(VLOOKUP(DN$6,Hoja1!$F$2:$XFD$61,BF21+4,FALSE),0)</f>
        <v/>
      </c>
      <c r="DO21">
        <f>IFERROR(VLOOKUP(DO$6,Hoja1!$F$2:$XFD$61,BG21+4,FALSE),0)</f>
        <v/>
      </c>
      <c r="DP21">
        <f>IFERROR(VLOOKUP(DP$6,Hoja1!$F$2:$XFD$61,BH21+4,FALSE),0)</f>
        <v/>
      </c>
      <c r="DQ21">
        <f>IFERROR(VLOOKUP(DQ$6,Hoja1!$F$2:$XFD$61,BI21+4,FALSE),0)</f>
        <v/>
      </c>
      <c r="DR21">
        <f>IFERROR(VLOOKUP(DR$6,Hoja1!$F$2:$XFD$61,BJ21+4,FALSE),0)</f>
        <v/>
      </c>
      <c r="DS21">
        <f>IFERROR(VLOOKUP(DS$6,Hoja1!$F$2:$XFD$61,BK21+4,FALSE),0)</f>
        <v/>
      </c>
      <c r="DT21">
        <f>IFERROR(VLOOKUP(DT$6,Hoja1!$F$2:$XFD$61,BL21+4,FALSE),0)</f>
        <v/>
      </c>
      <c r="DU21" s="15">
        <f>IF(COUNT(E21:BL21)=$DV$7,IF(D21="","indique grupo",SUM(BM21:DT21)),"")</f>
        <v/>
      </c>
      <c r="DV21" s="16">
        <f>IF(D21&lt;&gt;"",IF(DU21="","",IF(DU21&gt;=$DU$7*Hoja1!$E$2,4+3/($DU$7*(1-Hoja1!$E$2))*(DU21-$DU$7*Hoja1!$E$2),1+3/($DU$7*Hoja1!$E$2)*DU21)),DU21)</f>
        <v/>
      </c>
      <c r="DW21" s="47" t="b">
        <v>0</v>
      </c>
    </row>
    <row r="22" ht="23.25" customHeight="1">
      <c r="A22" s="17" t="n">
        <v>13</v>
      </c>
      <c r="B22" s="18" t="inlineStr">
        <is>
          <t>HERRERA URRUTIA JOAQUIN ANDRES</t>
        </is>
      </c>
      <c r="C22" s="18" t="inlineStr">
        <is>
          <t>200327772</t>
        </is>
      </c>
      <c r="D22" s="1" t="n"/>
      <c r="E22" s="28" t="n"/>
      <c r="F22" s="19" t="n"/>
      <c r="G22" s="19" t="n"/>
      <c r="H22" s="19" t="n"/>
      <c r="I22" s="19" t="n"/>
      <c r="J22" s="19" t="n"/>
      <c r="K22" s="19" t="n"/>
      <c r="L22" s="19" t="n"/>
      <c r="M22" s="19" t="n"/>
      <c r="N22" s="19" t="n"/>
      <c r="O22" s="19" t="n"/>
      <c r="P22" s="19" t="n"/>
      <c r="Q22" s="19" t="n"/>
      <c r="R22" s="19" t="n"/>
      <c r="S22" s="19" t="n"/>
      <c r="T22" s="19" t="n"/>
      <c r="U22" s="19" t="n"/>
      <c r="V22" s="19" t="n"/>
      <c r="W22" s="19" t="n"/>
      <c r="X22" s="19" t="n"/>
      <c r="Y22" s="19" t="n"/>
      <c r="Z22" s="19" t="n"/>
      <c r="AA22" s="19" t="n"/>
      <c r="AB22" s="19" t="n"/>
      <c r="AC22" s="19" t="n"/>
      <c r="AD22" s="19" t="n"/>
      <c r="AE22" s="19" t="n"/>
      <c r="AF22" s="19" t="n"/>
      <c r="AG22" s="19" t="n"/>
      <c r="AH22" s="19" t="n"/>
      <c r="AI22" s="19" t="n"/>
      <c r="AJ22" s="19" t="n"/>
      <c r="AK22" s="19" t="n"/>
      <c r="AL22" s="19" t="n"/>
      <c r="AM22" s="19" t="n"/>
      <c r="AN22" s="19" t="n"/>
      <c r="AO22" s="19" t="n"/>
      <c r="AP22" s="19" t="n"/>
      <c r="AQ22" s="19" t="n"/>
      <c r="AR22" s="19" t="n"/>
      <c r="AS22" s="19" t="n"/>
      <c r="AT22" s="19" t="n"/>
      <c r="AU22" s="19" t="n"/>
      <c r="AV22" s="19" t="n"/>
      <c r="AW22" s="19" t="n"/>
      <c r="AX22" s="19" t="n"/>
      <c r="AY22" s="19" t="n"/>
      <c r="AZ22" s="19" t="n"/>
      <c r="BA22" s="19" t="n"/>
      <c r="BB22" s="19" t="n"/>
      <c r="BC22" s="19" t="n"/>
      <c r="BD22" s="19" t="n"/>
      <c r="BE22" s="19" t="n"/>
      <c r="BF22" s="19" t="n"/>
      <c r="BG22" s="19" t="n"/>
      <c r="BH22" s="19" t="n"/>
      <c r="BI22" s="19" t="n"/>
      <c r="BJ22" s="19" t="n"/>
      <c r="BK22" s="19" t="n"/>
      <c r="BL22" s="29" t="n"/>
      <c r="BM22">
        <f>IFERROR(VLOOKUP(BM$6,Hoja1!$F$2:$XFD$61,E22+4,FALSE),0)</f>
        <v/>
      </c>
      <c r="BN22">
        <f>IFERROR(VLOOKUP(BN$6,Hoja1!$F$2:$XFD$61,F22+4,FALSE),0)</f>
        <v/>
      </c>
      <c r="BO22">
        <f>IFERROR(VLOOKUP(BO$6,Hoja1!$F$2:$XFD$61,G22+4,FALSE),0)</f>
        <v/>
      </c>
      <c r="BP22">
        <f>IFERROR(VLOOKUP(BP$6,Hoja1!$F$2:$XFD$61,H22+4,FALSE),0)</f>
        <v/>
      </c>
      <c r="BQ22">
        <f>IFERROR(VLOOKUP(BQ$6,Hoja1!$F$2:$XFD$61,I22+4,FALSE),0)</f>
        <v/>
      </c>
      <c r="BR22">
        <f>IFERROR(VLOOKUP(BR$6,Hoja1!$F$2:$XFD$61,J22+4,FALSE),0)</f>
        <v/>
      </c>
      <c r="BS22">
        <f>IFERROR(VLOOKUP(BS$6,Hoja1!$F$2:$XFD$61,K22+4,FALSE),0)</f>
        <v/>
      </c>
      <c r="BT22">
        <f>IFERROR(VLOOKUP(BT$6,Hoja1!$F$2:$XFD$61,L22+4,FALSE),0)</f>
        <v/>
      </c>
      <c r="BU22">
        <f>IFERROR(VLOOKUP(BU$6,Hoja1!$F$2:$XFD$61,M22+4,FALSE),0)</f>
        <v/>
      </c>
      <c r="BV22">
        <f>IFERROR(VLOOKUP(BV$6,Hoja1!$F$2:$XFD$61,N22+4,FALSE),0)</f>
        <v/>
      </c>
      <c r="BW22">
        <f>IFERROR(VLOOKUP(BW$6,Hoja1!$F$2:$XFD$61,O22+4,FALSE),0)</f>
        <v/>
      </c>
      <c r="BX22">
        <f>IFERROR(VLOOKUP(BX$6,Hoja1!$F$2:$XFD$61,P22+4,FALSE),0)</f>
        <v/>
      </c>
      <c r="BY22">
        <f>IFERROR(VLOOKUP(BY$6,Hoja1!$F$2:$XFD$61,Q22+4,FALSE),0)</f>
        <v/>
      </c>
      <c r="BZ22">
        <f>IFERROR(VLOOKUP(BZ$6,Hoja1!$F$2:$XFD$61,R22+4,FALSE),0)</f>
        <v/>
      </c>
      <c r="CA22">
        <f>IFERROR(VLOOKUP(CA$6,Hoja1!$F$2:$XFD$61,S22+4,FALSE),0)</f>
        <v/>
      </c>
      <c r="CB22">
        <f>IFERROR(VLOOKUP(CB$6,Hoja1!$F$2:$XFD$61,T22+4,FALSE),0)</f>
        <v/>
      </c>
      <c r="CC22">
        <f>IFERROR(VLOOKUP(CC$6,Hoja1!$F$2:$XFD$61,U22+4,FALSE),0)</f>
        <v/>
      </c>
      <c r="CD22">
        <f>IFERROR(VLOOKUP(CD$6,Hoja1!$F$2:$XFD$61,V22+4,FALSE),0)</f>
        <v/>
      </c>
      <c r="CE22">
        <f>IFERROR(VLOOKUP(CE$6,Hoja1!$F$2:$XFD$61,W22+4,FALSE),0)</f>
        <v/>
      </c>
      <c r="CF22">
        <f>IFERROR(VLOOKUP(CF$6,Hoja1!$F$2:$XFD$61,X22+4,FALSE),0)</f>
        <v/>
      </c>
      <c r="CG22">
        <f>IFERROR(VLOOKUP(CG$6,Hoja1!$F$2:$XFD$61,Y22+4,FALSE),0)</f>
        <v/>
      </c>
      <c r="CH22">
        <f>IFERROR(VLOOKUP(CH$6,Hoja1!$F$2:$XFD$61,Z22+4,FALSE),0)</f>
        <v/>
      </c>
      <c r="CI22">
        <f>IFERROR(VLOOKUP(CI$6,Hoja1!$F$2:$XFD$61,AA22+4,FALSE),0)</f>
        <v/>
      </c>
      <c r="CJ22">
        <f>IFERROR(VLOOKUP(CJ$6,Hoja1!$F$2:$XFD$61,AB22+4,FALSE),0)</f>
        <v/>
      </c>
      <c r="CK22">
        <f>IFERROR(VLOOKUP(CK$6,Hoja1!$F$2:$XFD$61,AC22+4,FALSE),0)</f>
        <v/>
      </c>
      <c r="CL22">
        <f>IFERROR(VLOOKUP(CL$6,Hoja1!$F$2:$XFD$61,AD22+4,FALSE),0)</f>
        <v/>
      </c>
      <c r="CM22">
        <f>IFERROR(VLOOKUP(CM$6,Hoja1!$F$2:$XFD$61,AE22+4,FALSE),0)</f>
        <v/>
      </c>
      <c r="CN22">
        <f>IFERROR(VLOOKUP(CN$6,Hoja1!$F$2:$XFD$61,AF22+4,FALSE),0)</f>
        <v/>
      </c>
      <c r="CO22">
        <f>IFERROR(VLOOKUP(CO$6,Hoja1!$F$2:$XFD$61,AG22+4,FALSE),0)</f>
        <v/>
      </c>
      <c r="CP22">
        <f>IFERROR(VLOOKUP(CP$6,Hoja1!$F$2:$XFD$61,AH22+4,FALSE),0)</f>
        <v/>
      </c>
      <c r="CQ22">
        <f>IFERROR(VLOOKUP(CQ$6,Hoja1!$F$2:$XFD$61,AI22+4,FALSE),0)</f>
        <v/>
      </c>
      <c r="CR22">
        <f>IFERROR(VLOOKUP(CR$6,Hoja1!$F$2:$XFD$61,AJ22+4,FALSE),0)</f>
        <v/>
      </c>
      <c r="CS22">
        <f>IFERROR(VLOOKUP(CS$6,Hoja1!$F$2:$XFD$61,AK22+4,FALSE),0)</f>
        <v/>
      </c>
      <c r="CT22">
        <f>IFERROR(VLOOKUP(CT$6,Hoja1!$F$2:$XFD$61,AL22+4,FALSE),0)</f>
        <v/>
      </c>
      <c r="CU22">
        <f>IFERROR(VLOOKUP(CU$6,Hoja1!$F$2:$XFD$61,AM22+4,FALSE),0)</f>
        <v/>
      </c>
      <c r="CV22">
        <f>IFERROR(VLOOKUP(CV$6,Hoja1!$F$2:$XFD$61,AN22+4,FALSE),0)</f>
        <v/>
      </c>
      <c r="CW22">
        <f>IFERROR(VLOOKUP(CW$6,Hoja1!$F$2:$XFD$61,AO22+4,FALSE),0)</f>
        <v/>
      </c>
      <c r="CX22">
        <f>IFERROR(VLOOKUP(CX$6,Hoja1!$F$2:$XFD$61,AP22+4,FALSE),0)</f>
        <v/>
      </c>
      <c r="CY22">
        <f>IFERROR(VLOOKUP(CY$6,Hoja1!$F$2:$XFD$61,AQ22+4,FALSE),0)</f>
        <v/>
      </c>
      <c r="CZ22">
        <f>IFERROR(VLOOKUP(CZ$6,Hoja1!$F$2:$XFD$61,AR22+4,FALSE),0)</f>
        <v/>
      </c>
      <c r="DA22">
        <f>IFERROR(VLOOKUP(DA$6,Hoja1!$F$2:$XFD$61,AS22+4,FALSE),0)</f>
        <v/>
      </c>
      <c r="DB22">
        <f>IFERROR(VLOOKUP(DB$6,Hoja1!$F$2:$XFD$61,AT22+4,FALSE),0)</f>
        <v/>
      </c>
      <c r="DC22">
        <f>IFERROR(VLOOKUP(DC$6,Hoja1!$F$2:$XFD$61,AU22+4,FALSE),0)</f>
        <v/>
      </c>
      <c r="DD22">
        <f>IFERROR(VLOOKUP(DD$6,Hoja1!$F$2:$XFD$61,AV22+4,FALSE),0)</f>
        <v/>
      </c>
      <c r="DE22">
        <f>IFERROR(VLOOKUP(DE$6,Hoja1!$F$2:$XFD$61,AW22+4,FALSE),0)</f>
        <v/>
      </c>
      <c r="DF22">
        <f>IFERROR(VLOOKUP(DF$6,Hoja1!$F$2:$XFD$61,AX22+4,FALSE),0)</f>
        <v/>
      </c>
      <c r="DG22">
        <f>IFERROR(VLOOKUP(DG$6,Hoja1!$F$2:$XFD$61,AY22+4,FALSE),0)</f>
        <v/>
      </c>
      <c r="DH22">
        <f>IFERROR(VLOOKUP(DH$6,Hoja1!$F$2:$XFD$61,AZ22+4,FALSE),0)</f>
        <v/>
      </c>
      <c r="DI22">
        <f>IFERROR(VLOOKUP(DI$6,Hoja1!$F$2:$XFD$61,BA22+4,FALSE),0)</f>
        <v/>
      </c>
      <c r="DJ22">
        <f>IFERROR(VLOOKUP(DJ$6,Hoja1!$F$2:$XFD$61,BB22+4,FALSE),0)</f>
        <v/>
      </c>
      <c r="DK22">
        <f>IFERROR(VLOOKUP(DK$6,Hoja1!$F$2:$XFD$61,BC22+4,FALSE),0)</f>
        <v/>
      </c>
      <c r="DL22">
        <f>IFERROR(VLOOKUP(DL$6,Hoja1!$F$2:$XFD$61,BD22+4,FALSE),0)</f>
        <v/>
      </c>
      <c r="DM22">
        <f>IFERROR(VLOOKUP(DM$6,Hoja1!$F$2:$XFD$61,BE22+4,FALSE),0)</f>
        <v/>
      </c>
      <c r="DN22">
        <f>IFERROR(VLOOKUP(DN$6,Hoja1!$F$2:$XFD$61,BF22+4,FALSE),0)</f>
        <v/>
      </c>
      <c r="DO22">
        <f>IFERROR(VLOOKUP(DO$6,Hoja1!$F$2:$XFD$61,BG22+4,FALSE),0)</f>
        <v/>
      </c>
      <c r="DP22">
        <f>IFERROR(VLOOKUP(DP$6,Hoja1!$F$2:$XFD$61,BH22+4,FALSE),0)</f>
        <v/>
      </c>
      <c r="DQ22">
        <f>IFERROR(VLOOKUP(DQ$6,Hoja1!$F$2:$XFD$61,BI22+4,FALSE),0)</f>
        <v/>
      </c>
      <c r="DR22">
        <f>IFERROR(VLOOKUP(DR$6,Hoja1!$F$2:$XFD$61,BJ22+4,FALSE),0)</f>
        <v/>
      </c>
      <c r="DS22">
        <f>IFERROR(VLOOKUP(DS$6,Hoja1!$F$2:$XFD$61,BK22+4,FALSE),0)</f>
        <v/>
      </c>
      <c r="DT22">
        <f>IFERROR(VLOOKUP(DT$6,Hoja1!$F$2:$XFD$61,BL22+4,FALSE),0)</f>
        <v/>
      </c>
      <c r="DU22" s="15">
        <f>IF(COUNT(E22:BL22)=$DV$7,IF(D22="","indique grupo",SUM(BM22:DT22)),"")</f>
        <v/>
      </c>
      <c r="DV22" s="16">
        <f>IF(D22&lt;&gt;"",IF(DU22="","",IF(DU22&gt;=$DU$7*Hoja1!$E$2,4+3/($DU$7*(1-Hoja1!$E$2))*(DU22-$DU$7*Hoja1!$E$2),1+3/($DU$7*Hoja1!$E$2)*DU22)),DU22)</f>
        <v/>
      </c>
      <c r="DW22" s="47" t="b">
        <v>0</v>
      </c>
    </row>
    <row r="23" ht="23.25" customHeight="1">
      <c r="A23" s="17" t="n">
        <v>14</v>
      </c>
      <c r="B23" s="18" t="inlineStr">
        <is>
          <t>MARTINEZ MELLA EDUARDO ANTONIO</t>
        </is>
      </c>
      <c r="C23" s="18" t="inlineStr">
        <is>
          <t>136222791</t>
        </is>
      </c>
      <c r="D23" s="1" t="n"/>
      <c r="E23" s="28" t="n"/>
      <c r="F23" s="19" t="n"/>
      <c r="G23" s="19" t="n"/>
      <c r="H23" s="19" t="n"/>
      <c r="I23" s="19" t="n"/>
      <c r="J23" s="19" t="n"/>
      <c r="K23" s="19" t="n"/>
      <c r="L23" s="19" t="n"/>
      <c r="M23" s="19" t="n"/>
      <c r="N23" s="19" t="n"/>
      <c r="O23" s="19" t="n"/>
      <c r="P23" s="19" t="n"/>
      <c r="Q23" s="19" t="n"/>
      <c r="R23" s="19" t="n"/>
      <c r="S23" s="19" t="n"/>
      <c r="T23" s="19" t="n"/>
      <c r="U23" s="19" t="n"/>
      <c r="V23" s="19" t="n"/>
      <c r="W23" s="19" t="n"/>
      <c r="X23" s="19" t="n"/>
      <c r="Y23" s="19" t="n"/>
      <c r="Z23" s="19" t="n"/>
      <c r="AA23" s="19" t="n"/>
      <c r="AB23" s="19" t="n"/>
      <c r="AC23" s="19" t="n"/>
      <c r="AD23" s="19" t="n"/>
      <c r="AE23" s="19" t="n"/>
      <c r="AF23" s="19" t="n"/>
      <c r="AG23" s="19" t="n"/>
      <c r="AH23" s="19" t="n"/>
      <c r="AI23" s="19" t="n"/>
      <c r="AJ23" s="19" t="n"/>
      <c r="AK23" s="19" t="n"/>
      <c r="AL23" s="19" t="n"/>
      <c r="AM23" s="19" t="n"/>
      <c r="AN23" s="19" t="n"/>
      <c r="AO23" s="19" t="n"/>
      <c r="AP23" s="19" t="n"/>
      <c r="AQ23" s="19" t="n"/>
      <c r="AR23" s="19" t="n"/>
      <c r="AS23" s="19" t="n"/>
      <c r="AT23" s="19" t="n"/>
      <c r="AU23" s="19" t="n"/>
      <c r="AV23" s="19" t="n"/>
      <c r="AW23" s="19" t="n"/>
      <c r="AX23" s="19" t="n"/>
      <c r="AY23" s="19" t="n"/>
      <c r="AZ23" s="19" t="n"/>
      <c r="BA23" s="19" t="n"/>
      <c r="BB23" s="19" t="n"/>
      <c r="BC23" s="19" t="n"/>
      <c r="BD23" s="19" t="n"/>
      <c r="BE23" s="19" t="n"/>
      <c r="BF23" s="19" t="n"/>
      <c r="BG23" s="19" t="n"/>
      <c r="BH23" s="19" t="n"/>
      <c r="BI23" s="19" t="n"/>
      <c r="BJ23" s="19" t="n"/>
      <c r="BK23" s="19" t="n"/>
      <c r="BL23" s="29" t="n"/>
      <c r="BM23">
        <f>IFERROR(VLOOKUP(BM$6,Hoja1!$F$2:$XFD$61,E23+4,FALSE),0)</f>
        <v/>
      </c>
      <c r="BN23">
        <f>IFERROR(VLOOKUP(BN$6,Hoja1!$F$2:$XFD$61,F23+4,FALSE),0)</f>
        <v/>
      </c>
      <c r="BO23">
        <f>IFERROR(VLOOKUP(BO$6,Hoja1!$F$2:$XFD$61,G23+4,FALSE),0)</f>
        <v/>
      </c>
      <c r="BP23">
        <f>IFERROR(VLOOKUP(BP$6,Hoja1!$F$2:$XFD$61,H23+4,FALSE),0)</f>
        <v/>
      </c>
      <c r="BQ23">
        <f>IFERROR(VLOOKUP(BQ$6,Hoja1!$F$2:$XFD$61,I23+4,FALSE),0)</f>
        <v/>
      </c>
      <c r="BR23">
        <f>IFERROR(VLOOKUP(BR$6,Hoja1!$F$2:$XFD$61,J23+4,FALSE),0)</f>
        <v/>
      </c>
      <c r="BS23">
        <f>IFERROR(VLOOKUP(BS$6,Hoja1!$F$2:$XFD$61,K23+4,FALSE),0)</f>
        <v/>
      </c>
      <c r="BT23">
        <f>IFERROR(VLOOKUP(BT$6,Hoja1!$F$2:$XFD$61,L23+4,FALSE),0)</f>
        <v/>
      </c>
      <c r="BU23">
        <f>IFERROR(VLOOKUP(BU$6,Hoja1!$F$2:$XFD$61,M23+4,FALSE),0)</f>
        <v/>
      </c>
      <c r="BV23">
        <f>IFERROR(VLOOKUP(BV$6,Hoja1!$F$2:$XFD$61,N23+4,FALSE),0)</f>
        <v/>
      </c>
      <c r="BW23">
        <f>IFERROR(VLOOKUP(BW$6,Hoja1!$F$2:$XFD$61,O23+4,FALSE),0)</f>
        <v/>
      </c>
      <c r="BX23">
        <f>IFERROR(VLOOKUP(BX$6,Hoja1!$F$2:$XFD$61,P23+4,FALSE),0)</f>
        <v/>
      </c>
      <c r="BY23">
        <f>IFERROR(VLOOKUP(BY$6,Hoja1!$F$2:$XFD$61,Q23+4,FALSE),0)</f>
        <v/>
      </c>
      <c r="BZ23">
        <f>IFERROR(VLOOKUP(BZ$6,Hoja1!$F$2:$XFD$61,R23+4,FALSE),0)</f>
        <v/>
      </c>
      <c r="CA23">
        <f>IFERROR(VLOOKUP(CA$6,Hoja1!$F$2:$XFD$61,S23+4,FALSE),0)</f>
        <v/>
      </c>
      <c r="CB23">
        <f>IFERROR(VLOOKUP(CB$6,Hoja1!$F$2:$XFD$61,T23+4,FALSE),0)</f>
        <v/>
      </c>
      <c r="CC23">
        <f>IFERROR(VLOOKUP(CC$6,Hoja1!$F$2:$XFD$61,U23+4,FALSE),0)</f>
        <v/>
      </c>
      <c r="CD23">
        <f>IFERROR(VLOOKUP(CD$6,Hoja1!$F$2:$XFD$61,V23+4,FALSE),0)</f>
        <v/>
      </c>
      <c r="CE23">
        <f>IFERROR(VLOOKUP(CE$6,Hoja1!$F$2:$XFD$61,W23+4,FALSE),0)</f>
        <v/>
      </c>
      <c r="CF23">
        <f>IFERROR(VLOOKUP(CF$6,Hoja1!$F$2:$XFD$61,X23+4,FALSE),0)</f>
        <v/>
      </c>
      <c r="CG23">
        <f>IFERROR(VLOOKUP(CG$6,Hoja1!$F$2:$XFD$61,Y23+4,FALSE),0)</f>
        <v/>
      </c>
      <c r="CH23">
        <f>IFERROR(VLOOKUP(CH$6,Hoja1!$F$2:$XFD$61,Z23+4,FALSE),0)</f>
        <v/>
      </c>
      <c r="CI23">
        <f>IFERROR(VLOOKUP(CI$6,Hoja1!$F$2:$XFD$61,AA23+4,FALSE),0)</f>
        <v/>
      </c>
      <c r="CJ23">
        <f>IFERROR(VLOOKUP(CJ$6,Hoja1!$F$2:$XFD$61,AB23+4,FALSE),0)</f>
        <v/>
      </c>
      <c r="CK23">
        <f>IFERROR(VLOOKUP(CK$6,Hoja1!$F$2:$XFD$61,AC23+4,FALSE),0)</f>
        <v/>
      </c>
      <c r="CL23">
        <f>IFERROR(VLOOKUP(CL$6,Hoja1!$F$2:$XFD$61,AD23+4,FALSE),0)</f>
        <v/>
      </c>
      <c r="CM23">
        <f>IFERROR(VLOOKUP(CM$6,Hoja1!$F$2:$XFD$61,AE23+4,FALSE),0)</f>
        <v/>
      </c>
      <c r="CN23">
        <f>IFERROR(VLOOKUP(CN$6,Hoja1!$F$2:$XFD$61,AF23+4,FALSE),0)</f>
        <v/>
      </c>
      <c r="CO23">
        <f>IFERROR(VLOOKUP(CO$6,Hoja1!$F$2:$XFD$61,AG23+4,FALSE),0)</f>
        <v/>
      </c>
      <c r="CP23">
        <f>IFERROR(VLOOKUP(CP$6,Hoja1!$F$2:$XFD$61,AH23+4,FALSE),0)</f>
        <v/>
      </c>
      <c r="CQ23">
        <f>IFERROR(VLOOKUP(CQ$6,Hoja1!$F$2:$XFD$61,AI23+4,FALSE),0)</f>
        <v/>
      </c>
      <c r="CR23">
        <f>IFERROR(VLOOKUP(CR$6,Hoja1!$F$2:$XFD$61,AJ23+4,FALSE),0)</f>
        <v/>
      </c>
      <c r="CS23">
        <f>IFERROR(VLOOKUP(CS$6,Hoja1!$F$2:$XFD$61,AK23+4,FALSE),0)</f>
        <v/>
      </c>
      <c r="CT23">
        <f>IFERROR(VLOOKUP(CT$6,Hoja1!$F$2:$XFD$61,AL23+4,FALSE),0)</f>
        <v/>
      </c>
      <c r="CU23">
        <f>IFERROR(VLOOKUP(CU$6,Hoja1!$F$2:$XFD$61,AM23+4,FALSE),0)</f>
        <v/>
      </c>
      <c r="CV23">
        <f>IFERROR(VLOOKUP(CV$6,Hoja1!$F$2:$XFD$61,AN23+4,FALSE),0)</f>
        <v/>
      </c>
      <c r="CW23">
        <f>IFERROR(VLOOKUP(CW$6,Hoja1!$F$2:$XFD$61,AO23+4,FALSE),0)</f>
        <v/>
      </c>
      <c r="CX23">
        <f>IFERROR(VLOOKUP(CX$6,Hoja1!$F$2:$XFD$61,AP23+4,FALSE),0)</f>
        <v/>
      </c>
      <c r="CY23">
        <f>IFERROR(VLOOKUP(CY$6,Hoja1!$F$2:$XFD$61,AQ23+4,FALSE),0)</f>
        <v/>
      </c>
      <c r="CZ23">
        <f>IFERROR(VLOOKUP(CZ$6,Hoja1!$F$2:$XFD$61,AR23+4,FALSE),0)</f>
        <v/>
      </c>
      <c r="DA23">
        <f>IFERROR(VLOOKUP(DA$6,Hoja1!$F$2:$XFD$61,AS23+4,FALSE),0)</f>
        <v/>
      </c>
      <c r="DB23">
        <f>IFERROR(VLOOKUP(DB$6,Hoja1!$F$2:$XFD$61,AT23+4,FALSE),0)</f>
        <v/>
      </c>
      <c r="DC23">
        <f>IFERROR(VLOOKUP(DC$6,Hoja1!$F$2:$XFD$61,AU23+4,FALSE),0)</f>
        <v/>
      </c>
      <c r="DD23">
        <f>IFERROR(VLOOKUP(DD$6,Hoja1!$F$2:$XFD$61,AV23+4,FALSE),0)</f>
        <v/>
      </c>
      <c r="DE23">
        <f>IFERROR(VLOOKUP(DE$6,Hoja1!$F$2:$XFD$61,AW23+4,FALSE),0)</f>
        <v/>
      </c>
      <c r="DF23">
        <f>IFERROR(VLOOKUP(DF$6,Hoja1!$F$2:$XFD$61,AX23+4,FALSE),0)</f>
        <v/>
      </c>
      <c r="DG23">
        <f>IFERROR(VLOOKUP(DG$6,Hoja1!$F$2:$XFD$61,AY23+4,FALSE),0)</f>
        <v/>
      </c>
      <c r="DH23">
        <f>IFERROR(VLOOKUP(DH$6,Hoja1!$F$2:$XFD$61,AZ23+4,FALSE),0)</f>
        <v/>
      </c>
      <c r="DI23">
        <f>IFERROR(VLOOKUP(DI$6,Hoja1!$F$2:$XFD$61,BA23+4,FALSE),0)</f>
        <v/>
      </c>
      <c r="DJ23">
        <f>IFERROR(VLOOKUP(DJ$6,Hoja1!$F$2:$XFD$61,BB23+4,FALSE),0)</f>
        <v/>
      </c>
      <c r="DK23">
        <f>IFERROR(VLOOKUP(DK$6,Hoja1!$F$2:$XFD$61,BC23+4,FALSE),0)</f>
        <v/>
      </c>
      <c r="DL23">
        <f>IFERROR(VLOOKUP(DL$6,Hoja1!$F$2:$XFD$61,BD23+4,FALSE),0)</f>
        <v/>
      </c>
      <c r="DM23">
        <f>IFERROR(VLOOKUP(DM$6,Hoja1!$F$2:$XFD$61,BE23+4,FALSE),0)</f>
        <v/>
      </c>
      <c r="DN23">
        <f>IFERROR(VLOOKUP(DN$6,Hoja1!$F$2:$XFD$61,BF23+4,FALSE),0)</f>
        <v/>
      </c>
      <c r="DO23">
        <f>IFERROR(VLOOKUP(DO$6,Hoja1!$F$2:$XFD$61,BG23+4,FALSE),0)</f>
        <v/>
      </c>
      <c r="DP23">
        <f>IFERROR(VLOOKUP(DP$6,Hoja1!$F$2:$XFD$61,BH23+4,FALSE),0)</f>
        <v/>
      </c>
      <c r="DQ23">
        <f>IFERROR(VLOOKUP(DQ$6,Hoja1!$F$2:$XFD$61,BI23+4,FALSE),0)</f>
        <v/>
      </c>
      <c r="DR23">
        <f>IFERROR(VLOOKUP(DR$6,Hoja1!$F$2:$XFD$61,BJ23+4,FALSE),0)</f>
        <v/>
      </c>
      <c r="DS23">
        <f>IFERROR(VLOOKUP(DS$6,Hoja1!$F$2:$XFD$61,BK23+4,FALSE),0)</f>
        <v/>
      </c>
      <c r="DT23">
        <f>IFERROR(VLOOKUP(DT$6,Hoja1!$F$2:$XFD$61,BL23+4,FALSE),0)</f>
        <v/>
      </c>
      <c r="DU23" s="15">
        <f>IF(COUNT(E23:BL23)=$DV$7,IF(D23="","indique grupo",SUM(BM23:DT23)),"")</f>
        <v/>
      </c>
      <c r="DV23" s="16">
        <f>IF(D23&lt;&gt;"",IF(DU23="","",IF(DU23&gt;=$DU$7*Hoja1!$E$2,4+3/($DU$7*(1-Hoja1!$E$2))*(DU23-$DU$7*Hoja1!$E$2),1+3/($DU$7*Hoja1!$E$2)*DU23)),DU23)</f>
        <v/>
      </c>
      <c r="DW23" s="47" t="b">
        <v>0</v>
      </c>
    </row>
    <row r="24" ht="23.25" customHeight="1">
      <c r="A24" s="17" t="n">
        <v>15</v>
      </c>
      <c r="B24" s="18" t="inlineStr">
        <is>
          <t>MATUS LUNA GERALD ALEJANDRO</t>
        </is>
      </c>
      <c r="C24" s="18" t="inlineStr">
        <is>
          <t>213960830</t>
        </is>
      </c>
      <c r="D24" s="1" t="n"/>
      <c r="E24" s="28" t="n"/>
      <c r="F24" s="19" t="n"/>
      <c r="G24" s="19" t="n"/>
      <c r="H24" s="19" t="n"/>
      <c r="I24" s="19" t="n"/>
      <c r="J24" s="19" t="n"/>
      <c r="K24" s="19" t="n"/>
      <c r="L24" s="19" t="n"/>
      <c r="M24" s="19" t="n"/>
      <c r="N24" s="19" t="n"/>
      <c r="O24" s="19" t="n"/>
      <c r="P24" s="19" t="n"/>
      <c r="Q24" s="19" t="n"/>
      <c r="R24" s="19" t="n"/>
      <c r="S24" s="19" t="n"/>
      <c r="T24" s="19" t="n"/>
      <c r="U24" s="19" t="n"/>
      <c r="V24" s="19" t="n"/>
      <c r="W24" s="19" t="n"/>
      <c r="X24" s="19" t="n"/>
      <c r="Y24" s="19" t="n"/>
      <c r="Z24" s="19" t="n"/>
      <c r="AA24" s="19" t="n"/>
      <c r="AB24" s="19" t="n"/>
      <c r="AC24" s="19" t="n"/>
      <c r="AD24" s="19" t="n"/>
      <c r="AE24" s="19" t="n"/>
      <c r="AF24" s="19" t="n"/>
      <c r="AG24" s="19" t="n"/>
      <c r="AH24" s="19" t="n"/>
      <c r="AI24" s="19" t="n"/>
      <c r="AJ24" s="19" t="n"/>
      <c r="AK24" s="19" t="n"/>
      <c r="AL24" s="19" t="n"/>
      <c r="AM24" s="19" t="n"/>
      <c r="AN24" s="19" t="n"/>
      <c r="AO24" s="19" t="n"/>
      <c r="AP24" s="19" t="n"/>
      <c r="AQ24" s="19" t="n"/>
      <c r="AR24" s="19" t="n"/>
      <c r="AS24" s="19" t="n"/>
      <c r="AT24" s="19" t="n"/>
      <c r="AU24" s="19" t="n"/>
      <c r="AV24" s="19" t="n"/>
      <c r="AW24" s="19" t="n"/>
      <c r="AX24" s="19" t="n"/>
      <c r="AY24" s="19" t="n"/>
      <c r="AZ24" s="19" t="n"/>
      <c r="BA24" s="19" t="n"/>
      <c r="BB24" s="19" t="n"/>
      <c r="BC24" s="19" t="n"/>
      <c r="BD24" s="19" t="n"/>
      <c r="BE24" s="19" t="n"/>
      <c r="BF24" s="19" t="n"/>
      <c r="BG24" s="19" t="n"/>
      <c r="BH24" s="19" t="n"/>
      <c r="BI24" s="19" t="n"/>
      <c r="BJ24" s="19" t="n"/>
      <c r="BK24" s="19" t="n"/>
      <c r="BL24" s="29" t="n"/>
      <c r="BM24">
        <f>IFERROR(VLOOKUP(BM$6,Hoja1!$F$2:$XFD$61,E24+4,FALSE),0)</f>
        <v/>
      </c>
      <c r="BN24">
        <f>IFERROR(VLOOKUP(BN$6,Hoja1!$F$2:$XFD$61,F24+4,FALSE),0)</f>
        <v/>
      </c>
      <c r="BO24">
        <f>IFERROR(VLOOKUP(BO$6,Hoja1!$F$2:$XFD$61,G24+4,FALSE),0)</f>
        <v/>
      </c>
      <c r="BP24">
        <f>IFERROR(VLOOKUP(BP$6,Hoja1!$F$2:$XFD$61,H24+4,FALSE),0)</f>
        <v/>
      </c>
      <c r="BQ24">
        <f>IFERROR(VLOOKUP(BQ$6,Hoja1!$F$2:$XFD$61,I24+4,FALSE),0)</f>
        <v/>
      </c>
      <c r="BR24">
        <f>IFERROR(VLOOKUP(BR$6,Hoja1!$F$2:$XFD$61,J24+4,FALSE),0)</f>
        <v/>
      </c>
      <c r="BS24">
        <f>IFERROR(VLOOKUP(BS$6,Hoja1!$F$2:$XFD$61,K24+4,FALSE),0)</f>
        <v/>
      </c>
      <c r="BT24">
        <f>IFERROR(VLOOKUP(BT$6,Hoja1!$F$2:$XFD$61,L24+4,FALSE),0)</f>
        <v/>
      </c>
      <c r="BU24">
        <f>IFERROR(VLOOKUP(BU$6,Hoja1!$F$2:$XFD$61,M24+4,FALSE),0)</f>
        <v/>
      </c>
      <c r="BV24">
        <f>IFERROR(VLOOKUP(BV$6,Hoja1!$F$2:$XFD$61,N24+4,FALSE),0)</f>
        <v/>
      </c>
      <c r="BW24">
        <f>IFERROR(VLOOKUP(BW$6,Hoja1!$F$2:$XFD$61,O24+4,FALSE),0)</f>
        <v/>
      </c>
      <c r="BX24">
        <f>IFERROR(VLOOKUP(BX$6,Hoja1!$F$2:$XFD$61,P24+4,FALSE),0)</f>
        <v/>
      </c>
      <c r="BY24">
        <f>IFERROR(VLOOKUP(BY$6,Hoja1!$F$2:$XFD$61,Q24+4,FALSE),0)</f>
        <v/>
      </c>
      <c r="BZ24">
        <f>IFERROR(VLOOKUP(BZ$6,Hoja1!$F$2:$XFD$61,R24+4,FALSE),0)</f>
        <v/>
      </c>
      <c r="CA24">
        <f>IFERROR(VLOOKUP(CA$6,Hoja1!$F$2:$XFD$61,S24+4,FALSE),0)</f>
        <v/>
      </c>
      <c r="CB24">
        <f>IFERROR(VLOOKUP(CB$6,Hoja1!$F$2:$XFD$61,T24+4,FALSE),0)</f>
        <v/>
      </c>
      <c r="CC24">
        <f>IFERROR(VLOOKUP(CC$6,Hoja1!$F$2:$XFD$61,U24+4,FALSE),0)</f>
        <v/>
      </c>
      <c r="CD24">
        <f>IFERROR(VLOOKUP(CD$6,Hoja1!$F$2:$XFD$61,V24+4,FALSE),0)</f>
        <v/>
      </c>
      <c r="CE24">
        <f>IFERROR(VLOOKUP(CE$6,Hoja1!$F$2:$XFD$61,W24+4,FALSE),0)</f>
        <v/>
      </c>
      <c r="CF24">
        <f>IFERROR(VLOOKUP(CF$6,Hoja1!$F$2:$XFD$61,X24+4,FALSE),0)</f>
        <v/>
      </c>
      <c r="CG24">
        <f>IFERROR(VLOOKUP(CG$6,Hoja1!$F$2:$XFD$61,Y24+4,FALSE),0)</f>
        <v/>
      </c>
      <c r="CH24">
        <f>IFERROR(VLOOKUP(CH$6,Hoja1!$F$2:$XFD$61,Z24+4,FALSE),0)</f>
        <v/>
      </c>
      <c r="CI24">
        <f>IFERROR(VLOOKUP(CI$6,Hoja1!$F$2:$XFD$61,AA24+4,FALSE),0)</f>
        <v/>
      </c>
      <c r="CJ24">
        <f>IFERROR(VLOOKUP(CJ$6,Hoja1!$F$2:$XFD$61,AB24+4,FALSE),0)</f>
        <v/>
      </c>
      <c r="CK24">
        <f>IFERROR(VLOOKUP(CK$6,Hoja1!$F$2:$XFD$61,AC24+4,FALSE),0)</f>
        <v/>
      </c>
      <c r="CL24">
        <f>IFERROR(VLOOKUP(CL$6,Hoja1!$F$2:$XFD$61,AD24+4,FALSE),0)</f>
        <v/>
      </c>
      <c r="CM24">
        <f>IFERROR(VLOOKUP(CM$6,Hoja1!$F$2:$XFD$61,AE24+4,FALSE),0)</f>
        <v/>
      </c>
      <c r="CN24">
        <f>IFERROR(VLOOKUP(CN$6,Hoja1!$F$2:$XFD$61,AF24+4,FALSE),0)</f>
        <v/>
      </c>
      <c r="CO24">
        <f>IFERROR(VLOOKUP(CO$6,Hoja1!$F$2:$XFD$61,AG24+4,FALSE),0)</f>
        <v/>
      </c>
      <c r="CP24">
        <f>IFERROR(VLOOKUP(CP$6,Hoja1!$F$2:$XFD$61,AH24+4,FALSE),0)</f>
        <v/>
      </c>
      <c r="CQ24">
        <f>IFERROR(VLOOKUP(CQ$6,Hoja1!$F$2:$XFD$61,AI24+4,FALSE),0)</f>
        <v/>
      </c>
      <c r="CR24">
        <f>IFERROR(VLOOKUP(CR$6,Hoja1!$F$2:$XFD$61,AJ24+4,FALSE),0)</f>
        <v/>
      </c>
      <c r="CS24">
        <f>IFERROR(VLOOKUP(CS$6,Hoja1!$F$2:$XFD$61,AK24+4,FALSE),0)</f>
        <v/>
      </c>
      <c r="CT24">
        <f>IFERROR(VLOOKUP(CT$6,Hoja1!$F$2:$XFD$61,AL24+4,FALSE),0)</f>
        <v/>
      </c>
      <c r="CU24">
        <f>IFERROR(VLOOKUP(CU$6,Hoja1!$F$2:$XFD$61,AM24+4,FALSE),0)</f>
        <v/>
      </c>
      <c r="CV24">
        <f>IFERROR(VLOOKUP(CV$6,Hoja1!$F$2:$XFD$61,AN24+4,FALSE),0)</f>
        <v/>
      </c>
      <c r="CW24">
        <f>IFERROR(VLOOKUP(CW$6,Hoja1!$F$2:$XFD$61,AO24+4,FALSE),0)</f>
        <v/>
      </c>
      <c r="CX24">
        <f>IFERROR(VLOOKUP(CX$6,Hoja1!$F$2:$XFD$61,AP24+4,FALSE),0)</f>
        <v/>
      </c>
      <c r="CY24">
        <f>IFERROR(VLOOKUP(CY$6,Hoja1!$F$2:$XFD$61,AQ24+4,FALSE),0)</f>
        <v/>
      </c>
      <c r="CZ24">
        <f>IFERROR(VLOOKUP(CZ$6,Hoja1!$F$2:$XFD$61,AR24+4,FALSE),0)</f>
        <v/>
      </c>
      <c r="DA24">
        <f>IFERROR(VLOOKUP(DA$6,Hoja1!$F$2:$XFD$61,AS24+4,FALSE),0)</f>
        <v/>
      </c>
      <c r="DB24">
        <f>IFERROR(VLOOKUP(DB$6,Hoja1!$F$2:$XFD$61,AT24+4,FALSE),0)</f>
        <v/>
      </c>
      <c r="DC24">
        <f>IFERROR(VLOOKUP(DC$6,Hoja1!$F$2:$XFD$61,AU24+4,FALSE),0)</f>
        <v/>
      </c>
      <c r="DD24">
        <f>IFERROR(VLOOKUP(DD$6,Hoja1!$F$2:$XFD$61,AV24+4,FALSE),0)</f>
        <v/>
      </c>
      <c r="DE24">
        <f>IFERROR(VLOOKUP(DE$6,Hoja1!$F$2:$XFD$61,AW24+4,FALSE),0)</f>
        <v/>
      </c>
      <c r="DF24">
        <f>IFERROR(VLOOKUP(DF$6,Hoja1!$F$2:$XFD$61,AX24+4,FALSE),0)</f>
        <v/>
      </c>
      <c r="DG24">
        <f>IFERROR(VLOOKUP(DG$6,Hoja1!$F$2:$XFD$61,AY24+4,FALSE),0)</f>
        <v/>
      </c>
      <c r="DH24">
        <f>IFERROR(VLOOKUP(DH$6,Hoja1!$F$2:$XFD$61,AZ24+4,FALSE),0)</f>
        <v/>
      </c>
      <c r="DI24">
        <f>IFERROR(VLOOKUP(DI$6,Hoja1!$F$2:$XFD$61,BA24+4,FALSE),0)</f>
        <v/>
      </c>
      <c r="DJ24">
        <f>IFERROR(VLOOKUP(DJ$6,Hoja1!$F$2:$XFD$61,BB24+4,FALSE),0)</f>
        <v/>
      </c>
      <c r="DK24">
        <f>IFERROR(VLOOKUP(DK$6,Hoja1!$F$2:$XFD$61,BC24+4,FALSE),0)</f>
        <v/>
      </c>
      <c r="DL24">
        <f>IFERROR(VLOOKUP(DL$6,Hoja1!$F$2:$XFD$61,BD24+4,FALSE),0)</f>
        <v/>
      </c>
      <c r="DM24">
        <f>IFERROR(VLOOKUP(DM$6,Hoja1!$F$2:$XFD$61,BE24+4,FALSE),0)</f>
        <v/>
      </c>
      <c r="DN24">
        <f>IFERROR(VLOOKUP(DN$6,Hoja1!$F$2:$XFD$61,BF24+4,FALSE),0)</f>
        <v/>
      </c>
      <c r="DO24">
        <f>IFERROR(VLOOKUP(DO$6,Hoja1!$F$2:$XFD$61,BG24+4,FALSE),0)</f>
        <v/>
      </c>
      <c r="DP24">
        <f>IFERROR(VLOOKUP(DP$6,Hoja1!$F$2:$XFD$61,BH24+4,FALSE),0)</f>
        <v/>
      </c>
      <c r="DQ24">
        <f>IFERROR(VLOOKUP(DQ$6,Hoja1!$F$2:$XFD$61,BI24+4,FALSE),0)</f>
        <v/>
      </c>
      <c r="DR24">
        <f>IFERROR(VLOOKUP(DR$6,Hoja1!$F$2:$XFD$61,BJ24+4,FALSE),0)</f>
        <v/>
      </c>
      <c r="DS24">
        <f>IFERROR(VLOOKUP(DS$6,Hoja1!$F$2:$XFD$61,BK24+4,FALSE),0)</f>
        <v/>
      </c>
      <c r="DT24">
        <f>IFERROR(VLOOKUP(DT$6,Hoja1!$F$2:$XFD$61,BL24+4,FALSE),0)</f>
        <v/>
      </c>
      <c r="DU24" s="15">
        <f>IF(COUNT(E24:BL24)=$DV$7,IF(D24="","indique grupo",SUM(BM24:DT24)),"")</f>
        <v/>
      </c>
      <c r="DV24" s="16">
        <f>IF(D24&lt;&gt;"",IF(DU24="","",IF(DU24&gt;=$DU$7*Hoja1!$E$2,4+3/($DU$7*(1-Hoja1!$E$2))*(DU24-$DU$7*Hoja1!$E$2),1+3/($DU$7*Hoja1!$E$2)*DU24)),DU24)</f>
        <v/>
      </c>
      <c r="DW24" s="47" t="b">
        <v>0</v>
      </c>
    </row>
    <row r="25" ht="23.25" customHeight="1">
      <c r="A25" s="17" t="n">
        <v>16</v>
      </c>
      <c r="B25" s="18" t="inlineStr">
        <is>
          <t>QUIROZ LIBERONA SERGIO EVANGELISTA</t>
        </is>
      </c>
      <c r="C25" s="18" t="inlineStr">
        <is>
          <t>17569790K</t>
        </is>
      </c>
      <c r="D25" s="1" t="n"/>
      <c r="E25" s="28" t="n"/>
      <c r="F25" s="19" t="n"/>
      <c r="G25" s="19" t="n"/>
      <c r="H25" s="19" t="n"/>
      <c r="I25" s="19" t="n"/>
      <c r="J25" s="19" t="n"/>
      <c r="K25" s="19" t="n"/>
      <c r="L25" s="19" t="n"/>
      <c r="M25" s="19" t="n"/>
      <c r="N25" s="19" t="n"/>
      <c r="O25" s="19" t="n"/>
      <c r="P25" s="19" t="n"/>
      <c r="Q25" s="19" t="n"/>
      <c r="R25" s="19" t="n"/>
      <c r="S25" s="19" t="n"/>
      <c r="T25" s="19" t="n"/>
      <c r="U25" s="19" t="n"/>
      <c r="V25" s="19" t="n"/>
      <c r="W25" s="19" t="n"/>
      <c r="X25" s="19" t="n"/>
      <c r="Y25" s="19" t="n"/>
      <c r="Z25" s="19" t="n"/>
      <c r="AA25" s="19" t="n"/>
      <c r="AB25" s="19" t="n"/>
      <c r="AC25" s="19" t="n"/>
      <c r="AD25" s="19" t="n"/>
      <c r="AE25" s="19" t="n"/>
      <c r="AF25" s="19" t="n"/>
      <c r="AG25" s="19" t="n"/>
      <c r="AH25" s="19" t="n"/>
      <c r="AI25" s="19" t="n"/>
      <c r="AJ25" s="19" t="n"/>
      <c r="AK25" s="19" t="n"/>
      <c r="AL25" s="19" t="n"/>
      <c r="AM25" s="19" t="n"/>
      <c r="AN25" s="19" t="n"/>
      <c r="AO25" s="19" t="n"/>
      <c r="AP25" s="19" t="n"/>
      <c r="AQ25" s="19" t="n"/>
      <c r="AR25" s="19" t="n"/>
      <c r="AS25" s="19" t="n"/>
      <c r="AT25" s="19" t="n"/>
      <c r="AU25" s="19" t="n"/>
      <c r="AV25" s="19" t="n"/>
      <c r="AW25" s="19" t="n"/>
      <c r="AX25" s="19" t="n"/>
      <c r="AY25" s="19" t="n"/>
      <c r="AZ25" s="19" t="n"/>
      <c r="BA25" s="19" t="n"/>
      <c r="BB25" s="19" t="n"/>
      <c r="BC25" s="19" t="n"/>
      <c r="BD25" s="19" t="n"/>
      <c r="BE25" s="19" t="n"/>
      <c r="BF25" s="19" t="n"/>
      <c r="BG25" s="19" t="n"/>
      <c r="BH25" s="19" t="n"/>
      <c r="BI25" s="19" t="n"/>
      <c r="BJ25" s="19" t="n"/>
      <c r="BK25" s="19" t="n"/>
      <c r="BL25" s="29" t="n"/>
      <c r="BM25">
        <f>IFERROR(VLOOKUP(BM$6,Hoja1!$F$2:$XFD$61,E25+4,FALSE),0)</f>
        <v/>
      </c>
      <c r="BN25">
        <f>IFERROR(VLOOKUP(BN$6,Hoja1!$F$2:$XFD$61,F25+4,FALSE),0)</f>
        <v/>
      </c>
      <c r="BO25">
        <f>IFERROR(VLOOKUP(BO$6,Hoja1!$F$2:$XFD$61,G25+4,FALSE),0)</f>
        <v/>
      </c>
      <c r="BP25">
        <f>IFERROR(VLOOKUP(BP$6,Hoja1!$F$2:$XFD$61,H25+4,FALSE),0)</f>
        <v/>
      </c>
      <c r="BQ25">
        <f>IFERROR(VLOOKUP(BQ$6,Hoja1!$F$2:$XFD$61,I25+4,FALSE),0)</f>
        <v/>
      </c>
      <c r="BR25">
        <f>IFERROR(VLOOKUP(BR$6,Hoja1!$F$2:$XFD$61,J25+4,FALSE),0)</f>
        <v/>
      </c>
      <c r="BS25">
        <f>IFERROR(VLOOKUP(BS$6,Hoja1!$F$2:$XFD$61,K25+4,FALSE),0)</f>
        <v/>
      </c>
      <c r="BT25">
        <f>IFERROR(VLOOKUP(BT$6,Hoja1!$F$2:$XFD$61,L25+4,FALSE),0)</f>
        <v/>
      </c>
      <c r="BU25">
        <f>IFERROR(VLOOKUP(BU$6,Hoja1!$F$2:$XFD$61,M25+4,FALSE),0)</f>
        <v/>
      </c>
      <c r="BV25">
        <f>IFERROR(VLOOKUP(BV$6,Hoja1!$F$2:$XFD$61,N25+4,FALSE),0)</f>
        <v/>
      </c>
      <c r="BW25">
        <f>IFERROR(VLOOKUP(BW$6,Hoja1!$F$2:$XFD$61,O25+4,FALSE),0)</f>
        <v/>
      </c>
      <c r="BX25">
        <f>IFERROR(VLOOKUP(BX$6,Hoja1!$F$2:$XFD$61,P25+4,FALSE),0)</f>
        <v/>
      </c>
      <c r="BY25">
        <f>IFERROR(VLOOKUP(BY$6,Hoja1!$F$2:$XFD$61,Q25+4,FALSE),0)</f>
        <v/>
      </c>
      <c r="BZ25">
        <f>IFERROR(VLOOKUP(BZ$6,Hoja1!$F$2:$XFD$61,R25+4,FALSE),0)</f>
        <v/>
      </c>
      <c r="CA25">
        <f>IFERROR(VLOOKUP(CA$6,Hoja1!$F$2:$XFD$61,S25+4,FALSE),0)</f>
        <v/>
      </c>
      <c r="CB25">
        <f>IFERROR(VLOOKUP(CB$6,Hoja1!$F$2:$XFD$61,T25+4,FALSE),0)</f>
        <v/>
      </c>
      <c r="CC25">
        <f>IFERROR(VLOOKUP(CC$6,Hoja1!$F$2:$XFD$61,U25+4,FALSE),0)</f>
        <v/>
      </c>
      <c r="CD25">
        <f>IFERROR(VLOOKUP(CD$6,Hoja1!$F$2:$XFD$61,V25+4,FALSE),0)</f>
        <v/>
      </c>
      <c r="CE25">
        <f>IFERROR(VLOOKUP(CE$6,Hoja1!$F$2:$XFD$61,W25+4,FALSE),0)</f>
        <v/>
      </c>
      <c r="CF25">
        <f>IFERROR(VLOOKUP(CF$6,Hoja1!$F$2:$XFD$61,X25+4,FALSE),0)</f>
        <v/>
      </c>
      <c r="CG25">
        <f>IFERROR(VLOOKUP(CG$6,Hoja1!$F$2:$XFD$61,Y25+4,FALSE),0)</f>
        <v/>
      </c>
      <c r="CH25">
        <f>IFERROR(VLOOKUP(CH$6,Hoja1!$F$2:$XFD$61,Z25+4,FALSE),0)</f>
        <v/>
      </c>
      <c r="CI25">
        <f>IFERROR(VLOOKUP(CI$6,Hoja1!$F$2:$XFD$61,AA25+4,FALSE),0)</f>
        <v/>
      </c>
      <c r="CJ25">
        <f>IFERROR(VLOOKUP(CJ$6,Hoja1!$F$2:$XFD$61,AB25+4,FALSE),0)</f>
        <v/>
      </c>
      <c r="CK25">
        <f>IFERROR(VLOOKUP(CK$6,Hoja1!$F$2:$XFD$61,AC25+4,FALSE),0)</f>
        <v/>
      </c>
      <c r="CL25">
        <f>IFERROR(VLOOKUP(CL$6,Hoja1!$F$2:$XFD$61,AD25+4,FALSE),0)</f>
        <v/>
      </c>
      <c r="CM25">
        <f>IFERROR(VLOOKUP(CM$6,Hoja1!$F$2:$XFD$61,AE25+4,FALSE),0)</f>
        <v/>
      </c>
      <c r="CN25">
        <f>IFERROR(VLOOKUP(CN$6,Hoja1!$F$2:$XFD$61,AF25+4,FALSE),0)</f>
        <v/>
      </c>
      <c r="CO25">
        <f>IFERROR(VLOOKUP(CO$6,Hoja1!$F$2:$XFD$61,AG25+4,FALSE),0)</f>
        <v/>
      </c>
      <c r="CP25">
        <f>IFERROR(VLOOKUP(CP$6,Hoja1!$F$2:$XFD$61,AH25+4,FALSE),0)</f>
        <v/>
      </c>
      <c r="CQ25">
        <f>IFERROR(VLOOKUP(CQ$6,Hoja1!$F$2:$XFD$61,AI25+4,FALSE),0)</f>
        <v/>
      </c>
      <c r="CR25">
        <f>IFERROR(VLOOKUP(CR$6,Hoja1!$F$2:$XFD$61,AJ25+4,FALSE),0)</f>
        <v/>
      </c>
      <c r="CS25">
        <f>IFERROR(VLOOKUP(CS$6,Hoja1!$F$2:$XFD$61,AK25+4,FALSE),0)</f>
        <v/>
      </c>
      <c r="CT25">
        <f>IFERROR(VLOOKUP(CT$6,Hoja1!$F$2:$XFD$61,AL25+4,FALSE),0)</f>
        <v/>
      </c>
      <c r="CU25">
        <f>IFERROR(VLOOKUP(CU$6,Hoja1!$F$2:$XFD$61,AM25+4,FALSE),0)</f>
        <v/>
      </c>
      <c r="CV25">
        <f>IFERROR(VLOOKUP(CV$6,Hoja1!$F$2:$XFD$61,AN25+4,FALSE),0)</f>
        <v/>
      </c>
      <c r="CW25">
        <f>IFERROR(VLOOKUP(CW$6,Hoja1!$F$2:$XFD$61,AO25+4,FALSE),0)</f>
        <v/>
      </c>
      <c r="CX25">
        <f>IFERROR(VLOOKUP(CX$6,Hoja1!$F$2:$XFD$61,AP25+4,FALSE),0)</f>
        <v/>
      </c>
      <c r="CY25">
        <f>IFERROR(VLOOKUP(CY$6,Hoja1!$F$2:$XFD$61,AQ25+4,FALSE),0)</f>
        <v/>
      </c>
      <c r="CZ25">
        <f>IFERROR(VLOOKUP(CZ$6,Hoja1!$F$2:$XFD$61,AR25+4,FALSE),0)</f>
        <v/>
      </c>
      <c r="DA25">
        <f>IFERROR(VLOOKUP(DA$6,Hoja1!$F$2:$XFD$61,AS25+4,FALSE),0)</f>
        <v/>
      </c>
      <c r="DB25">
        <f>IFERROR(VLOOKUP(DB$6,Hoja1!$F$2:$XFD$61,AT25+4,FALSE),0)</f>
        <v/>
      </c>
      <c r="DC25">
        <f>IFERROR(VLOOKUP(DC$6,Hoja1!$F$2:$XFD$61,AU25+4,FALSE),0)</f>
        <v/>
      </c>
      <c r="DD25">
        <f>IFERROR(VLOOKUP(DD$6,Hoja1!$F$2:$XFD$61,AV25+4,FALSE),0)</f>
        <v/>
      </c>
      <c r="DE25">
        <f>IFERROR(VLOOKUP(DE$6,Hoja1!$F$2:$XFD$61,AW25+4,FALSE),0)</f>
        <v/>
      </c>
      <c r="DF25">
        <f>IFERROR(VLOOKUP(DF$6,Hoja1!$F$2:$XFD$61,AX25+4,FALSE),0)</f>
        <v/>
      </c>
      <c r="DG25">
        <f>IFERROR(VLOOKUP(DG$6,Hoja1!$F$2:$XFD$61,AY25+4,FALSE),0)</f>
        <v/>
      </c>
      <c r="DH25">
        <f>IFERROR(VLOOKUP(DH$6,Hoja1!$F$2:$XFD$61,AZ25+4,FALSE),0)</f>
        <v/>
      </c>
      <c r="DI25">
        <f>IFERROR(VLOOKUP(DI$6,Hoja1!$F$2:$XFD$61,BA25+4,FALSE),0)</f>
        <v/>
      </c>
      <c r="DJ25">
        <f>IFERROR(VLOOKUP(DJ$6,Hoja1!$F$2:$XFD$61,BB25+4,FALSE),0)</f>
        <v/>
      </c>
      <c r="DK25">
        <f>IFERROR(VLOOKUP(DK$6,Hoja1!$F$2:$XFD$61,BC25+4,FALSE),0)</f>
        <v/>
      </c>
      <c r="DL25">
        <f>IFERROR(VLOOKUP(DL$6,Hoja1!$F$2:$XFD$61,BD25+4,FALSE),0)</f>
        <v/>
      </c>
      <c r="DM25">
        <f>IFERROR(VLOOKUP(DM$6,Hoja1!$F$2:$XFD$61,BE25+4,FALSE),0)</f>
        <v/>
      </c>
      <c r="DN25">
        <f>IFERROR(VLOOKUP(DN$6,Hoja1!$F$2:$XFD$61,BF25+4,FALSE),0)</f>
        <v/>
      </c>
      <c r="DO25">
        <f>IFERROR(VLOOKUP(DO$6,Hoja1!$F$2:$XFD$61,BG25+4,FALSE),0)</f>
        <v/>
      </c>
      <c r="DP25">
        <f>IFERROR(VLOOKUP(DP$6,Hoja1!$F$2:$XFD$61,BH25+4,FALSE),0)</f>
        <v/>
      </c>
      <c r="DQ25">
        <f>IFERROR(VLOOKUP(DQ$6,Hoja1!$F$2:$XFD$61,BI25+4,FALSE),0)</f>
        <v/>
      </c>
      <c r="DR25">
        <f>IFERROR(VLOOKUP(DR$6,Hoja1!$F$2:$XFD$61,BJ25+4,FALSE),0)</f>
        <v/>
      </c>
      <c r="DS25">
        <f>IFERROR(VLOOKUP(DS$6,Hoja1!$F$2:$XFD$61,BK25+4,FALSE),0)</f>
        <v/>
      </c>
      <c r="DT25">
        <f>IFERROR(VLOOKUP(DT$6,Hoja1!$F$2:$XFD$61,BL25+4,FALSE),0)</f>
        <v/>
      </c>
      <c r="DU25" s="15">
        <f>IF(COUNT(E25:BL25)=$DV$7,IF(D25="","indique grupo",SUM(BM25:DT25)),"")</f>
        <v/>
      </c>
      <c r="DV25" s="16">
        <f>IF(D25&lt;&gt;"",IF(DU25="","",IF(DU25&gt;=$DU$7*Hoja1!$E$2,4+3/($DU$7*(1-Hoja1!$E$2))*(DU25-$DU$7*Hoja1!$E$2),1+3/($DU$7*Hoja1!$E$2)*DU25)),DU25)</f>
        <v/>
      </c>
      <c r="DW25" s="47" t="b">
        <v>0</v>
      </c>
    </row>
    <row r="26" ht="23.25" customHeight="1">
      <c r="A26" s="17" t="n">
        <v>17</v>
      </c>
      <c r="B26" s="18" t="inlineStr">
        <is>
          <t>SANDOVAL VALDEBENITO PAULINA VIVIANA</t>
        </is>
      </c>
      <c r="C26" s="18" t="inlineStr">
        <is>
          <t>168974434</t>
        </is>
      </c>
      <c r="D26" s="1" t="n"/>
      <c r="E26" s="28" t="n"/>
      <c r="F26" s="19" t="n"/>
      <c r="G26" s="19" t="n"/>
      <c r="H26" s="19" t="n"/>
      <c r="I26" s="19" t="n"/>
      <c r="J26" s="19" t="n"/>
      <c r="K26" s="19" t="n"/>
      <c r="L26" s="19" t="n"/>
      <c r="M26" s="19" t="n"/>
      <c r="N26" s="19" t="n"/>
      <c r="O26" s="19" t="n"/>
      <c r="P26" s="19" t="n"/>
      <c r="Q26" s="19" t="n"/>
      <c r="R26" s="19" t="n"/>
      <c r="S26" s="19" t="n"/>
      <c r="T26" s="19" t="n"/>
      <c r="U26" s="19" t="n"/>
      <c r="V26" s="19" t="n"/>
      <c r="W26" s="19" t="n"/>
      <c r="X26" s="19" t="n"/>
      <c r="Y26" s="19" t="n"/>
      <c r="Z26" s="19" t="n"/>
      <c r="AA26" s="19" t="n"/>
      <c r="AB26" s="19" t="n"/>
      <c r="AC26" s="19" t="n"/>
      <c r="AD26" s="19" t="n"/>
      <c r="AE26" s="19" t="n"/>
      <c r="AF26" s="19" t="n"/>
      <c r="AG26" s="19" t="n"/>
      <c r="AH26" s="19" t="n"/>
      <c r="AI26" s="19" t="n"/>
      <c r="AJ26" s="19" t="n"/>
      <c r="AK26" s="19" t="n"/>
      <c r="AL26" s="19" t="n"/>
      <c r="AM26" s="19" t="n"/>
      <c r="AN26" s="19" t="n"/>
      <c r="AO26" s="19" t="n"/>
      <c r="AP26" s="19" t="n"/>
      <c r="AQ26" s="19" t="n"/>
      <c r="AR26" s="19" t="n"/>
      <c r="AS26" s="19" t="n"/>
      <c r="AT26" s="19" t="n"/>
      <c r="AU26" s="19" t="n"/>
      <c r="AV26" s="19" t="n"/>
      <c r="AW26" s="19" t="n"/>
      <c r="AX26" s="19" t="n"/>
      <c r="AY26" s="19" t="n"/>
      <c r="AZ26" s="19" t="n"/>
      <c r="BA26" s="19" t="n"/>
      <c r="BB26" s="19" t="n"/>
      <c r="BC26" s="19" t="n"/>
      <c r="BD26" s="19" t="n"/>
      <c r="BE26" s="19" t="n"/>
      <c r="BF26" s="19" t="n"/>
      <c r="BG26" s="19" t="n"/>
      <c r="BH26" s="19" t="n"/>
      <c r="BI26" s="19" t="n"/>
      <c r="BJ26" s="19" t="n"/>
      <c r="BK26" s="19" t="n"/>
      <c r="BL26" s="29" t="n"/>
      <c r="BM26">
        <f>IFERROR(VLOOKUP(BM$6,Hoja1!$F$2:$XFD$61,E26+4,FALSE),0)</f>
        <v/>
      </c>
      <c r="BN26">
        <f>IFERROR(VLOOKUP(BN$6,Hoja1!$F$2:$XFD$61,F26+4,FALSE),0)</f>
        <v/>
      </c>
      <c r="BO26">
        <f>IFERROR(VLOOKUP(BO$6,Hoja1!$F$2:$XFD$61,G26+4,FALSE),0)</f>
        <v/>
      </c>
      <c r="BP26">
        <f>IFERROR(VLOOKUP(BP$6,Hoja1!$F$2:$XFD$61,H26+4,FALSE),0)</f>
        <v/>
      </c>
      <c r="BQ26">
        <f>IFERROR(VLOOKUP(BQ$6,Hoja1!$F$2:$XFD$61,I26+4,FALSE),0)</f>
        <v/>
      </c>
      <c r="BR26">
        <f>IFERROR(VLOOKUP(BR$6,Hoja1!$F$2:$XFD$61,J26+4,FALSE),0)</f>
        <v/>
      </c>
      <c r="BS26">
        <f>IFERROR(VLOOKUP(BS$6,Hoja1!$F$2:$XFD$61,K26+4,FALSE),0)</f>
        <v/>
      </c>
      <c r="BT26">
        <f>IFERROR(VLOOKUP(BT$6,Hoja1!$F$2:$XFD$61,L26+4,FALSE),0)</f>
        <v/>
      </c>
      <c r="BU26">
        <f>IFERROR(VLOOKUP(BU$6,Hoja1!$F$2:$XFD$61,M26+4,FALSE),0)</f>
        <v/>
      </c>
      <c r="BV26">
        <f>IFERROR(VLOOKUP(BV$6,Hoja1!$F$2:$XFD$61,N26+4,FALSE),0)</f>
        <v/>
      </c>
      <c r="BW26">
        <f>IFERROR(VLOOKUP(BW$6,Hoja1!$F$2:$XFD$61,O26+4,FALSE),0)</f>
        <v/>
      </c>
      <c r="BX26">
        <f>IFERROR(VLOOKUP(BX$6,Hoja1!$F$2:$XFD$61,P26+4,FALSE),0)</f>
        <v/>
      </c>
      <c r="BY26">
        <f>IFERROR(VLOOKUP(BY$6,Hoja1!$F$2:$XFD$61,Q26+4,FALSE),0)</f>
        <v/>
      </c>
      <c r="BZ26">
        <f>IFERROR(VLOOKUP(BZ$6,Hoja1!$F$2:$XFD$61,R26+4,FALSE),0)</f>
        <v/>
      </c>
      <c r="CA26">
        <f>IFERROR(VLOOKUP(CA$6,Hoja1!$F$2:$XFD$61,S26+4,FALSE),0)</f>
        <v/>
      </c>
      <c r="CB26">
        <f>IFERROR(VLOOKUP(CB$6,Hoja1!$F$2:$XFD$61,T26+4,FALSE),0)</f>
        <v/>
      </c>
      <c r="CC26">
        <f>IFERROR(VLOOKUP(CC$6,Hoja1!$F$2:$XFD$61,U26+4,FALSE),0)</f>
        <v/>
      </c>
      <c r="CD26">
        <f>IFERROR(VLOOKUP(CD$6,Hoja1!$F$2:$XFD$61,V26+4,FALSE),0)</f>
        <v/>
      </c>
      <c r="CE26">
        <f>IFERROR(VLOOKUP(CE$6,Hoja1!$F$2:$XFD$61,W26+4,FALSE),0)</f>
        <v/>
      </c>
      <c r="CF26">
        <f>IFERROR(VLOOKUP(CF$6,Hoja1!$F$2:$XFD$61,X26+4,FALSE),0)</f>
        <v/>
      </c>
      <c r="CG26">
        <f>IFERROR(VLOOKUP(CG$6,Hoja1!$F$2:$XFD$61,Y26+4,FALSE),0)</f>
        <v/>
      </c>
      <c r="CH26">
        <f>IFERROR(VLOOKUP(CH$6,Hoja1!$F$2:$XFD$61,Z26+4,FALSE),0)</f>
        <v/>
      </c>
      <c r="CI26">
        <f>IFERROR(VLOOKUP(CI$6,Hoja1!$F$2:$XFD$61,AA26+4,FALSE),0)</f>
        <v/>
      </c>
      <c r="CJ26">
        <f>IFERROR(VLOOKUP(CJ$6,Hoja1!$F$2:$XFD$61,AB26+4,FALSE),0)</f>
        <v/>
      </c>
      <c r="CK26">
        <f>IFERROR(VLOOKUP(CK$6,Hoja1!$F$2:$XFD$61,AC26+4,FALSE),0)</f>
        <v/>
      </c>
      <c r="CL26">
        <f>IFERROR(VLOOKUP(CL$6,Hoja1!$F$2:$XFD$61,AD26+4,FALSE),0)</f>
        <v/>
      </c>
      <c r="CM26">
        <f>IFERROR(VLOOKUP(CM$6,Hoja1!$F$2:$XFD$61,AE26+4,FALSE),0)</f>
        <v/>
      </c>
      <c r="CN26">
        <f>IFERROR(VLOOKUP(CN$6,Hoja1!$F$2:$XFD$61,AF26+4,FALSE),0)</f>
        <v/>
      </c>
      <c r="CO26">
        <f>IFERROR(VLOOKUP(CO$6,Hoja1!$F$2:$XFD$61,AG26+4,FALSE),0)</f>
        <v/>
      </c>
      <c r="CP26">
        <f>IFERROR(VLOOKUP(CP$6,Hoja1!$F$2:$XFD$61,AH26+4,FALSE),0)</f>
        <v/>
      </c>
      <c r="CQ26">
        <f>IFERROR(VLOOKUP(CQ$6,Hoja1!$F$2:$XFD$61,AI26+4,FALSE),0)</f>
        <v/>
      </c>
      <c r="CR26">
        <f>IFERROR(VLOOKUP(CR$6,Hoja1!$F$2:$XFD$61,AJ26+4,FALSE),0)</f>
        <v/>
      </c>
      <c r="CS26">
        <f>IFERROR(VLOOKUP(CS$6,Hoja1!$F$2:$XFD$61,AK26+4,FALSE),0)</f>
        <v/>
      </c>
      <c r="CT26">
        <f>IFERROR(VLOOKUP(CT$6,Hoja1!$F$2:$XFD$61,AL26+4,FALSE),0)</f>
        <v/>
      </c>
      <c r="CU26">
        <f>IFERROR(VLOOKUP(CU$6,Hoja1!$F$2:$XFD$61,AM26+4,FALSE),0)</f>
        <v/>
      </c>
      <c r="CV26">
        <f>IFERROR(VLOOKUP(CV$6,Hoja1!$F$2:$XFD$61,AN26+4,FALSE),0)</f>
        <v/>
      </c>
      <c r="CW26">
        <f>IFERROR(VLOOKUP(CW$6,Hoja1!$F$2:$XFD$61,AO26+4,FALSE),0)</f>
        <v/>
      </c>
      <c r="CX26">
        <f>IFERROR(VLOOKUP(CX$6,Hoja1!$F$2:$XFD$61,AP26+4,FALSE),0)</f>
        <v/>
      </c>
      <c r="CY26">
        <f>IFERROR(VLOOKUP(CY$6,Hoja1!$F$2:$XFD$61,AQ26+4,FALSE),0)</f>
        <v/>
      </c>
      <c r="CZ26">
        <f>IFERROR(VLOOKUP(CZ$6,Hoja1!$F$2:$XFD$61,AR26+4,FALSE),0)</f>
        <v/>
      </c>
      <c r="DA26">
        <f>IFERROR(VLOOKUP(DA$6,Hoja1!$F$2:$XFD$61,AS26+4,FALSE),0)</f>
        <v/>
      </c>
      <c r="DB26">
        <f>IFERROR(VLOOKUP(DB$6,Hoja1!$F$2:$XFD$61,AT26+4,FALSE),0)</f>
        <v/>
      </c>
      <c r="DC26">
        <f>IFERROR(VLOOKUP(DC$6,Hoja1!$F$2:$XFD$61,AU26+4,FALSE),0)</f>
        <v/>
      </c>
      <c r="DD26">
        <f>IFERROR(VLOOKUP(DD$6,Hoja1!$F$2:$XFD$61,AV26+4,FALSE),0)</f>
        <v/>
      </c>
      <c r="DE26">
        <f>IFERROR(VLOOKUP(DE$6,Hoja1!$F$2:$XFD$61,AW26+4,FALSE),0)</f>
        <v/>
      </c>
      <c r="DF26">
        <f>IFERROR(VLOOKUP(DF$6,Hoja1!$F$2:$XFD$61,AX26+4,FALSE),0)</f>
        <v/>
      </c>
      <c r="DG26">
        <f>IFERROR(VLOOKUP(DG$6,Hoja1!$F$2:$XFD$61,AY26+4,FALSE),0)</f>
        <v/>
      </c>
      <c r="DH26">
        <f>IFERROR(VLOOKUP(DH$6,Hoja1!$F$2:$XFD$61,AZ26+4,FALSE),0)</f>
        <v/>
      </c>
      <c r="DI26">
        <f>IFERROR(VLOOKUP(DI$6,Hoja1!$F$2:$XFD$61,BA26+4,FALSE),0)</f>
        <v/>
      </c>
      <c r="DJ26">
        <f>IFERROR(VLOOKUP(DJ$6,Hoja1!$F$2:$XFD$61,BB26+4,FALSE),0)</f>
        <v/>
      </c>
      <c r="DK26">
        <f>IFERROR(VLOOKUP(DK$6,Hoja1!$F$2:$XFD$61,BC26+4,FALSE),0)</f>
        <v/>
      </c>
      <c r="DL26">
        <f>IFERROR(VLOOKUP(DL$6,Hoja1!$F$2:$XFD$61,BD26+4,FALSE),0)</f>
        <v/>
      </c>
      <c r="DM26">
        <f>IFERROR(VLOOKUP(DM$6,Hoja1!$F$2:$XFD$61,BE26+4,FALSE),0)</f>
        <v/>
      </c>
      <c r="DN26">
        <f>IFERROR(VLOOKUP(DN$6,Hoja1!$F$2:$XFD$61,BF26+4,FALSE),0)</f>
        <v/>
      </c>
      <c r="DO26">
        <f>IFERROR(VLOOKUP(DO$6,Hoja1!$F$2:$XFD$61,BG26+4,FALSE),0)</f>
        <v/>
      </c>
      <c r="DP26">
        <f>IFERROR(VLOOKUP(DP$6,Hoja1!$F$2:$XFD$61,BH26+4,FALSE),0)</f>
        <v/>
      </c>
      <c r="DQ26">
        <f>IFERROR(VLOOKUP(DQ$6,Hoja1!$F$2:$XFD$61,BI26+4,FALSE),0)</f>
        <v/>
      </c>
      <c r="DR26">
        <f>IFERROR(VLOOKUP(DR$6,Hoja1!$F$2:$XFD$61,BJ26+4,FALSE),0)</f>
        <v/>
      </c>
      <c r="DS26">
        <f>IFERROR(VLOOKUP(DS$6,Hoja1!$F$2:$XFD$61,BK26+4,FALSE),0)</f>
        <v/>
      </c>
      <c r="DT26">
        <f>IFERROR(VLOOKUP(DT$6,Hoja1!$F$2:$XFD$61,BL26+4,FALSE),0)</f>
        <v/>
      </c>
      <c r="DU26" s="15">
        <f>IF(COUNT(E26:BL26)=$DV$7,IF(D26="","indique grupo",SUM(BM26:DT26)),"")</f>
        <v/>
      </c>
      <c r="DV26" s="16">
        <f>IF(D26&lt;&gt;"",IF(DU26="","",IF(DU26&gt;=$DU$7*Hoja1!$E$2,4+3/($DU$7*(1-Hoja1!$E$2))*(DU26-$DU$7*Hoja1!$E$2),1+3/($DU$7*Hoja1!$E$2)*DU26)),DU26)</f>
        <v/>
      </c>
      <c r="DW26" s="47" t="b">
        <v>0</v>
      </c>
    </row>
    <row r="27" ht="23.25" customHeight="1">
      <c r="A27" s="17" t="n">
        <v>18</v>
      </c>
      <c r="B27" s="18" t="inlineStr">
        <is>
          <t>SARABIA GONZALEZ ENILZE MEGTDALET</t>
        </is>
      </c>
      <c r="C27" s="18" t="inlineStr">
        <is>
          <t>177638757</t>
        </is>
      </c>
      <c r="D27" s="1" t="n"/>
      <c r="E27" s="28" t="n"/>
      <c r="F27" s="19" t="n"/>
      <c r="G27" s="19" t="n"/>
      <c r="H27" s="19" t="n"/>
      <c r="I27" s="19" t="n"/>
      <c r="J27" s="19" t="n"/>
      <c r="K27" s="19" t="n"/>
      <c r="L27" s="19" t="n"/>
      <c r="M27" s="19" t="n"/>
      <c r="N27" s="19" t="n"/>
      <c r="O27" s="19" t="n"/>
      <c r="P27" s="19" t="n"/>
      <c r="Q27" s="19" t="n"/>
      <c r="R27" s="19" t="n"/>
      <c r="S27" s="19" t="n"/>
      <c r="T27" s="19" t="n"/>
      <c r="U27" s="19" t="n"/>
      <c r="V27" s="19" t="n"/>
      <c r="W27" s="19" t="n"/>
      <c r="X27" s="19" t="n"/>
      <c r="Y27" s="19" t="n"/>
      <c r="Z27" s="19" t="n"/>
      <c r="AA27" s="19" t="n"/>
      <c r="AB27" s="19" t="n"/>
      <c r="AC27" s="19" t="n"/>
      <c r="AD27" s="19" t="n"/>
      <c r="AE27" s="19" t="n"/>
      <c r="AF27" s="19" t="n"/>
      <c r="AG27" s="19" t="n"/>
      <c r="AH27" s="19" t="n"/>
      <c r="AI27" s="19" t="n"/>
      <c r="AJ27" s="19" t="n"/>
      <c r="AK27" s="19" t="n"/>
      <c r="AL27" s="19" t="n"/>
      <c r="AM27" s="19" t="n"/>
      <c r="AN27" s="19" t="n"/>
      <c r="AO27" s="19" t="n"/>
      <c r="AP27" s="19" t="n"/>
      <c r="AQ27" s="19" t="n"/>
      <c r="AR27" s="19" t="n"/>
      <c r="AS27" s="19" t="n"/>
      <c r="AT27" s="19" t="n"/>
      <c r="AU27" s="19" t="n"/>
      <c r="AV27" s="19" t="n"/>
      <c r="AW27" s="19" t="n"/>
      <c r="AX27" s="19" t="n"/>
      <c r="AY27" s="19" t="n"/>
      <c r="AZ27" s="19" t="n"/>
      <c r="BA27" s="19" t="n"/>
      <c r="BB27" s="19" t="n"/>
      <c r="BC27" s="19" t="n"/>
      <c r="BD27" s="19" t="n"/>
      <c r="BE27" s="19" t="n"/>
      <c r="BF27" s="19" t="n"/>
      <c r="BG27" s="19" t="n"/>
      <c r="BH27" s="19" t="n"/>
      <c r="BI27" s="19" t="n"/>
      <c r="BJ27" s="19" t="n"/>
      <c r="BK27" s="19" t="n"/>
      <c r="BL27" s="29" t="n"/>
      <c r="BM27">
        <f>IFERROR(VLOOKUP(BM$6,Hoja1!$F$2:$XFD$61,E27+4,FALSE),0)</f>
        <v/>
      </c>
      <c r="BN27">
        <f>IFERROR(VLOOKUP(BN$6,Hoja1!$F$2:$XFD$61,F27+4,FALSE),0)</f>
        <v/>
      </c>
      <c r="BO27">
        <f>IFERROR(VLOOKUP(BO$6,Hoja1!$F$2:$XFD$61,G27+4,FALSE),0)</f>
        <v/>
      </c>
      <c r="BP27">
        <f>IFERROR(VLOOKUP(BP$6,Hoja1!$F$2:$XFD$61,H27+4,FALSE),0)</f>
        <v/>
      </c>
      <c r="BQ27">
        <f>IFERROR(VLOOKUP(BQ$6,Hoja1!$F$2:$XFD$61,I27+4,FALSE),0)</f>
        <v/>
      </c>
      <c r="BR27">
        <f>IFERROR(VLOOKUP(BR$6,Hoja1!$F$2:$XFD$61,J27+4,FALSE),0)</f>
        <v/>
      </c>
      <c r="BS27">
        <f>IFERROR(VLOOKUP(BS$6,Hoja1!$F$2:$XFD$61,K27+4,FALSE),0)</f>
        <v/>
      </c>
      <c r="BT27">
        <f>IFERROR(VLOOKUP(BT$6,Hoja1!$F$2:$XFD$61,L27+4,FALSE),0)</f>
        <v/>
      </c>
      <c r="BU27">
        <f>IFERROR(VLOOKUP(BU$6,Hoja1!$F$2:$XFD$61,M27+4,FALSE),0)</f>
        <v/>
      </c>
      <c r="BV27">
        <f>IFERROR(VLOOKUP(BV$6,Hoja1!$F$2:$XFD$61,N27+4,FALSE),0)</f>
        <v/>
      </c>
      <c r="BW27">
        <f>IFERROR(VLOOKUP(BW$6,Hoja1!$F$2:$XFD$61,O27+4,FALSE),0)</f>
        <v/>
      </c>
      <c r="BX27">
        <f>IFERROR(VLOOKUP(BX$6,Hoja1!$F$2:$XFD$61,P27+4,FALSE),0)</f>
        <v/>
      </c>
      <c r="BY27">
        <f>IFERROR(VLOOKUP(BY$6,Hoja1!$F$2:$XFD$61,Q27+4,FALSE),0)</f>
        <v/>
      </c>
      <c r="BZ27">
        <f>IFERROR(VLOOKUP(BZ$6,Hoja1!$F$2:$XFD$61,R27+4,FALSE),0)</f>
        <v/>
      </c>
      <c r="CA27">
        <f>IFERROR(VLOOKUP(CA$6,Hoja1!$F$2:$XFD$61,S27+4,FALSE),0)</f>
        <v/>
      </c>
      <c r="CB27">
        <f>IFERROR(VLOOKUP(CB$6,Hoja1!$F$2:$XFD$61,T27+4,FALSE),0)</f>
        <v/>
      </c>
      <c r="CC27">
        <f>IFERROR(VLOOKUP(CC$6,Hoja1!$F$2:$XFD$61,U27+4,FALSE),0)</f>
        <v/>
      </c>
      <c r="CD27">
        <f>IFERROR(VLOOKUP(CD$6,Hoja1!$F$2:$XFD$61,V27+4,FALSE),0)</f>
        <v/>
      </c>
      <c r="CE27">
        <f>IFERROR(VLOOKUP(CE$6,Hoja1!$F$2:$XFD$61,W27+4,FALSE),0)</f>
        <v/>
      </c>
      <c r="CF27">
        <f>IFERROR(VLOOKUP(CF$6,Hoja1!$F$2:$XFD$61,X27+4,FALSE),0)</f>
        <v/>
      </c>
      <c r="CG27">
        <f>IFERROR(VLOOKUP(CG$6,Hoja1!$F$2:$XFD$61,Y27+4,FALSE),0)</f>
        <v/>
      </c>
      <c r="CH27">
        <f>IFERROR(VLOOKUP(CH$6,Hoja1!$F$2:$XFD$61,Z27+4,FALSE),0)</f>
        <v/>
      </c>
      <c r="CI27">
        <f>IFERROR(VLOOKUP(CI$6,Hoja1!$F$2:$XFD$61,AA27+4,FALSE),0)</f>
        <v/>
      </c>
      <c r="CJ27">
        <f>IFERROR(VLOOKUP(CJ$6,Hoja1!$F$2:$XFD$61,AB27+4,FALSE),0)</f>
        <v/>
      </c>
      <c r="CK27">
        <f>IFERROR(VLOOKUP(CK$6,Hoja1!$F$2:$XFD$61,AC27+4,FALSE),0)</f>
        <v/>
      </c>
      <c r="CL27">
        <f>IFERROR(VLOOKUP(CL$6,Hoja1!$F$2:$XFD$61,AD27+4,FALSE),0)</f>
        <v/>
      </c>
      <c r="CM27">
        <f>IFERROR(VLOOKUP(CM$6,Hoja1!$F$2:$XFD$61,AE27+4,FALSE),0)</f>
        <v/>
      </c>
      <c r="CN27">
        <f>IFERROR(VLOOKUP(CN$6,Hoja1!$F$2:$XFD$61,AF27+4,FALSE),0)</f>
        <v/>
      </c>
      <c r="CO27">
        <f>IFERROR(VLOOKUP(CO$6,Hoja1!$F$2:$XFD$61,AG27+4,FALSE),0)</f>
        <v/>
      </c>
      <c r="CP27">
        <f>IFERROR(VLOOKUP(CP$6,Hoja1!$F$2:$XFD$61,AH27+4,FALSE),0)</f>
        <v/>
      </c>
      <c r="CQ27">
        <f>IFERROR(VLOOKUP(CQ$6,Hoja1!$F$2:$XFD$61,AI27+4,FALSE),0)</f>
        <v/>
      </c>
      <c r="CR27">
        <f>IFERROR(VLOOKUP(CR$6,Hoja1!$F$2:$XFD$61,AJ27+4,FALSE),0)</f>
        <v/>
      </c>
      <c r="CS27">
        <f>IFERROR(VLOOKUP(CS$6,Hoja1!$F$2:$XFD$61,AK27+4,FALSE),0)</f>
        <v/>
      </c>
      <c r="CT27">
        <f>IFERROR(VLOOKUP(CT$6,Hoja1!$F$2:$XFD$61,AL27+4,FALSE),0)</f>
        <v/>
      </c>
      <c r="CU27">
        <f>IFERROR(VLOOKUP(CU$6,Hoja1!$F$2:$XFD$61,AM27+4,FALSE),0)</f>
        <v/>
      </c>
      <c r="CV27">
        <f>IFERROR(VLOOKUP(CV$6,Hoja1!$F$2:$XFD$61,AN27+4,FALSE),0)</f>
        <v/>
      </c>
      <c r="CW27">
        <f>IFERROR(VLOOKUP(CW$6,Hoja1!$F$2:$XFD$61,AO27+4,FALSE),0)</f>
        <v/>
      </c>
      <c r="CX27">
        <f>IFERROR(VLOOKUP(CX$6,Hoja1!$F$2:$XFD$61,AP27+4,FALSE),0)</f>
        <v/>
      </c>
      <c r="CY27">
        <f>IFERROR(VLOOKUP(CY$6,Hoja1!$F$2:$XFD$61,AQ27+4,FALSE),0)</f>
        <v/>
      </c>
      <c r="CZ27">
        <f>IFERROR(VLOOKUP(CZ$6,Hoja1!$F$2:$XFD$61,AR27+4,FALSE),0)</f>
        <v/>
      </c>
      <c r="DA27">
        <f>IFERROR(VLOOKUP(DA$6,Hoja1!$F$2:$XFD$61,AS27+4,FALSE),0)</f>
        <v/>
      </c>
      <c r="DB27">
        <f>IFERROR(VLOOKUP(DB$6,Hoja1!$F$2:$XFD$61,AT27+4,FALSE),0)</f>
        <v/>
      </c>
      <c r="DC27">
        <f>IFERROR(VLOOKUP(DC$6,Hoja1!$F$2:$XFD$61,AU27+4,FALSE),0)</f>
        <v/>
      </c>
      <c r="DD27">
        <f>IFERROR(VLOOKUP(DD$6,Hoja1!$F$2:$XFD$61,AV27+4,FALSE),0)</f>
        <v/>
      </c>
      <c r="DE27">
        <f>IFERROR(VLOOKUP(DE$6,Hoja1!$F$2:$XFD$61,AW27+4,FALSE),0)</f>
        <v/>
      </c>
      <c r="DF27">
        <f>IFERROR(VLOOKUP(DF$6,Hoja1!$F$2:$XFD$61,AX27+4,FALSE),0)</f>
        <v/>
      </c>
      <c r="DG27">
        <f>IFERROR(VLOOKUP(DG$6,Hoja1!$F$2:$XFD$61,AY27+4,FALSE),0)</f>
        <v/>
      </c>
      <c r="DH27">
        <f>IFERROR(VLOOKUP(DH$6,Hoja1!$F$2:$XFD$61,AZ27+4,FALSE),0)</f>
        <v/>
      </c>
      <c r="DI27">
        <f>IFERROR(VLOOKUP(DI$6,Hoja1!$F$2:$XFD$61,BA27+4,FALSE),0)</f>
        <v/>
      </c>
      <c r="DJ27">
        <f>IFERROR(VLOOKUP(DJ$6,Hoja1!$F$2:$XFD$61,BB27+4,FALSE),0)</f>
        <v/>
      </c>
      <c r="DK27">
        <f>IFERROR(VLOOKUP(DK$6,Hoja1!$F$2:$XFD$61,BC27+4,FALSE),0)</f>
        <v/>
      </c>
      <c r="DL27">
        <f>IFERROR(VLOOKUP(DL$6,Hoja1!$F$2:$XFD$61,BD27+4,FALSE),0)</f>
        <v/>
      </c>
      <c r="DM27">
        <f>IFERROR(VLOOKUP(DM$6,Hoja1!$F$2:$XFD$61,BE27+4,FALSE),0)</f>
        <v/>
      </c>
      <c r="DN27">
        <f>IFERROR(VLOOKUP(DN$6,Hoja1!$F$2:$XFD$61,BF27+4,FALSE),0)</f>
        <v/>
      </c>
      <c r="DO27">
        <f>IFERROR(VLOOKUP(DO$6,Hoja1!$F$2:$XFD$61,BG27+4,FALSE),0)</f>
        <v/>
      </c>
      <c r="DP27">
        <f>IFERROR(VLOOKUP(DP$6,Hoja1!$F$2:$XFD$61,BH27+4,FALSE),0)</f>
        <v/>
      </c>
      <c r="DQ27">
        <f>IFERROR(VLOOKUP(DQ$6,Hoja1!$F$2:$XFD$61,BI27+4,FALSE),0)</f>
        <v/>
      </c>
      <c r="DR27">
        <f>IFERROR(VLOOKUP(DR$6,Hoja1!$F$2:$XFD$61,BJ27+4,FALSE),0)</f>
        <v/>
      </c>
      <c r="DS27">
        <f>IFERROR(VLOOKUP(DS$6,Hoja1!$F$2:$XFD$61,BK27+4,FALSE),0)</f>
        <v/>
      </c>
      <c r="DT27">
        <f>IFERROR(VLOOKUP(DT$6,Hoja1!$F$2:$XFD$61,BL27+4,FALSE),0)</f>
        <v/>
      </c>
      <c r="DU27" s="15">
        <f>IF(COUNT(E27:BL27)=$DV$7,IF(D27="","indique grupo",SUM(BM27:DT27)),"")</f>
        <v/>
      </c>
      <c r="DV27" s="16">
        <f>IF(D27&lt;&gt;"",IF(DU27="","",IF(DU27&gt;=$DU$7*Hoja1!$E$2,4+3/($DU$7*(1-Hoja1!$E$2))*(DU27-$DU$7*Hoja1!$E$2),1+3/($DU$7*Hoja1!$E$2)*DU27)),DU27)</f>
        <v/>
      </c>
      <c r="DW27" s="47" t="b">
        <v>0</v>
      </c>
    </row>
    <row r="28" ht="23.25" customHeight="1">
      <c r="A28" s="17" t="n">
        <v>19</v>
      </c>
      <c r="B28" s="18" t="inlineStr">
        <is>
          <t>ULLOA TORRES JAEL BETZABE</t>
        </is>
      </c>
      <c r="C28" s="18" t="inlineStr">
        <is>
          <t>21350326K</t>
        </is>
      </c>
      <c r="D28" s="1" t="n"/>
      <c r="E28" s="28" t="n"/>
      <c r="F28" s="19" t="n"/>
      <c r="G28" s="19" t="n"/>
      <c r="H28" s="19" t="n"/>
      <c r="I28" s="19" t="n"/>
      <c r="J28" s="19" t="n"/>
      <c r="K28" s="19" t="n"/>
      <c r="L28" s="19" t="n"/>
      <c r="M28" s="19" t="n"/>
      <c r="N28" s="19" t="n"/>
      <c r="O28" s="19" t="n"/>
      <c r="P28" s="19" t="n"/>
      <c r="Q28" s="19" t="n"/>
      <c r="R28" s="19" t="n"/>
      <c r="S28" s="19" t="n"/>
      <c r="T28" s="19" t="n"/>
      <c r="U28" s="19" t="n"/>
      <c r="V28" s="19" t="n"/>
      <c r="W28" s="19" t="n"/>
      <c r="X28" s="19" t="n"/>
      <c r="Y28" s="19" t="n"/>
      <c r="Z28" s="19" t="n"/>
      <c r="AA28" s="19" t="n"/>
      <c r="AB28" s="19" t="n"/>
      <c r="AC28" s="19" t="n"/>
      <c r="AD28" s="19" t="n"/>
      <c r="AE28" s="19" t="n"/>
      <c r="AF28" s="19" t="n"/>
      <c r="AG28" s="19" t="n"/>
      <c r="AH28" s="19" t="n"/>
      <c r="AI28" s="19" t="n"/>
      <c r="AJ28" s="19" t="n"/>
      <c r="AK28" s="19" t="n"/>
      <c r="AL28" s="19" t="n"/>
      <c r="AM28" s="19" t="n"/>
      <c r="AN28" s="19" t="n"/>
      <c r="AO28" s="19" t="n"/>
      <c r="AP28" s="19" t="n"/>
      <c r="AQ28" s="19" t="n"/>
      <c r="AR28" s="19" t="n"/>
      <c r="AS28" s="19" t="n"/>
      <c r="AT28" s="19" t="n"/>
      <c r="AU28" s="19" t="n"/>
      <c r="AV28" s="19" t="n"/>
      <c r="AW28" s="19" t="n"/>
      <c r="AX28" s="19" t="n"/>
      <c r="AY28" s="19" t="n"/>
      <c r="AZ28" s="19" t="n"/>
      <c r="BA28" s="19" t="n"/>
      <c r="BB28" s="19" t="n"/>
      <c r="BC28" s="19" t="n"/>
      <c r="BD28" s="19" t="n"/>
      <c r="BE28" s="19" t="n"/>
      <c r="BF28" s="19" t="n"/>
      <c r="BG28" s="19" t="n"/>
      <c r="BH28" s="19" t="n"/>
      <c r="BI28" s="19" t="n"/>
      <c r="BJ28" s="19" t="n"/>
      <c r="BK28" s="19" t="n"/>
      <c r="BL28" s="29" t="n"/>
      <c r="BM28">
        <f>IFERROR(VLOOKUP(BM$6,Hoja1!$F$2:$XFD$61,E28+4,FALSE),0)</f>
        <v/>
      </c>
      <c r="BN28">
        <f>IFERROR(VLOOKUP(BN$6,Hoja1!$F$2:$XFD$61,F28+4,FALSE),0)</f>
        <v/>
      </c>
      <c r="BO28">
        <f>IFERROR(VLOOKUP(BO$6,Hoja1!$F$2:$XFD$61,G28+4,FALSE),0)</f>
        <v/>
      </c>
      <c r="BP28">
        <f>IFERROR(VLOOKUP(BP$6,Hoja1!$F$2:$XFD$61,H28+4,FALSE),0)</f>
        <v/>
      </c>
      <c r="BQ28">
        <f>IFERROR(VLOOKUP(BQ$6,Hoja1!$F$2:$XFD$61,I28+4,FALSE),0)</f>
        <v/>
      </c>
      <c r="BR28">
        <f>IFERROR(VLOOKUP(BR$6,Hoja1!$F$2:$XFD$61,J28+4,FALSE),0)</f>
        <v/>
      </c>
      <c r="BS28">
        <f>IFERROR(VLOOKUP(BS$6,Hoja1!$F$2:$XFD$61,K28+4,FALSE),0)</f>
        <v/>
      </c>
      <c r="BT28">
        <f>IFERROR(VLOOKUP(BT$6,Hoja1!$F$2:$XFD$61,L28+4,FALSE),0)</f>
        <v/>
      </c>
      <c r="BU28">
        <f>IFERROR(VLOOKUP(BU$6,Hoja1!$F$2:$XFD$61,M28+4,FALSE),0)</f>
        <v/>
      </c>
      <c r="BV28">
        <f>IFERROR(VLOOKUP(BV$6,Hoja1!$F$2:$XFD$61,N28+4,FALSE),0)</f>
        <v/>
      </c>
      <c r="BW28">
        <f>IFERROR(VLOOKUP(BW$6,Hoja1!$F$2:$XFD$61,O28+4,FALSE),0)</f>
        <v/>
      </c>
      <c r="BX28">
        <f>IFERROR(VLOOKUP(BX$6,Hoja1!$F$2:$XFD$61,P28+4,FALSE),0)</f>
        <v/>
      </c>
      <c r="BY28">
        <f>IFERROR(VLOOKUP(BY$6,Hoja1!$F$2:$XFD$61,Q28+4,FALSE),0)</f>
        <v/>
      </c>
      <c r="BZ28">
        <f>IFERROR(VLOOKUP(BZ$6,Hoja1!$F$2:$XFD$61,R28+4,FALSE),0)</f>
        <v/>
      </c>
      <c r="CA28">
        <f>IFERROR(VLOOKUP(CA$6,Hoja1!$F$2:$XFD$61,S28+4,FALSE),0)</f>
        <v/>
      </c>
      <c r="CB28">
        <f>IFERROR(VLOOKUP(CB$6,Hoja1!$F$2:$XFD$61,T28+4,FALSE),0)</f>
        <v/>
      </c>
      <c r="CC28">
        <f>IFERROR(VLOOKUP(CC$6,Hoja1!$F$2:$XFD$61,U28+4,FALSE),0)</f>
        <v/>
      </c>
      <c r="CD28">
        <f>IFERROR(VLOOKUP(CD$6,Hoja1!$F$2:$XFD$61,V28+4,FALSE),0)</f>
        <v/>
      </c>
      <c r="CE28">
        <f>IFERROR(VLOOKUP(CE$6,Hoja1!$F$2:$XFD$61,W28+4,FALSE),0)</f>
        <v/>
      </c>
      <c r="CF28">
        <f>IFERROR(VLOOKUP(CF$6,Hoja1!$F$2:$XFD$61,X28+4,FALSE),0)</f>
        <v/>
      </c>
      <c r="CG28">
        <f>IFERROR(VLOOKUP(CG$6,Hoja1!$F$2:$XFD$61,Y28+4,FALSE),0)</f>
        <v/>
      </c>
      <c r="CH28">
        <f>IFERROR(VLOOKUP(CH$6,Hoja1!$F$2:$XFD$61,Z28+4,FALSE),0)</f>
        <v/>
      </c>
      <c r="CI28">
        <f>IFERROR(VLOOKUP(CI$6,Hoja1!$F$2:$XFD$61,AA28+4,FALSE),0)</f>
        <v/>
      </c>
      <c r="CJ28">
        <f>IFERROR(VLOOKUP(CJ$6,Hoja1!$F$2:$XFD$61,AB28+4,FALSE),0)</f>
        <v/>
      </c>
      <c r="CK28">
        <f>IFERROR(VLOOKUP(CK$6,Hoja1!$F$2:$XFD$61,AC28+4,FALSE),0)</f>
        <v/>
      </c>
      <c r="CL28">
        <f>IFERROR(VLOOKUP(CL$6,Hoja1!$F$2:$XFD$61,AD28+4,FALSE),0)</f>
        <v/>
      </c>
      <c r="CM28">
        <f>IFERROR(VLOOKUP(CM$6,Hoja1!$F$2:$XFD$61,AE28+4,FALSE),0)</f>
        <v/>
      </c>
      <c r="CN28">
        <f>IFERROR(VLOOKUP(CN$6,Hoja1!$F$2:$XFD$61,AF28+4,FALSE),0)</f>
        <v/>
      </c>
      <c r="CO28">
        <f>IFERROR(VLOOKUP(CO$6,Hoja1!$F$2:$XFD$61,AG28+4,FALSE),0)</f>
        <v/>
      </c>
      <c r="CP28">
        <f>IFERROR(VLOOKUP(CP$6,Hoja1!$F$2:$XFD$61,AH28+4,FALSE),0)</f>
        <v/>
      </c>
      <c r="CQ28">
        <f>IFERROR(VLOOKUP(CQ$6,Hoja1!$F$2:$XFD$61,AI28+4,FALSE),0)</f>
        <v/>
      </c>
      <c r="CR28">
        <f>IFERROR(VLOOKUP(CR$6,Hoja1!$F$2:$XFD$61,AJ28+4,FALSE),0)</f>
        <v/>
      </c>
      <c r="CS28">
        <f>IFERROR(VLOOKUP(CS$6,Hoja1!$F$2:$XFD$61,AK28+4,FALSE),0)</f>
        <v/>
      </c>
      <c r="CT28">
        <f>IFERROR(VLOOKUP(CT$6,Hoja1!$F$2:$XFD$61,AL28+4,FALSE),0)</f>
        <v/>
      </c>
      <c r="CU28">
        <f>IFERROR(VLOOKUP(CU$6,Hoja1!$F$2:$XFD$61,AM28+4,FALSE),0)</f>
        <v/>
      </c>
      <c r="CV28">
        <f>IFERROR(VLOOKUP(CV$6,Hoja1!$F$2:$XFD$61,AN28+4,FALSE),0)</f>
        <v/>
      </c>
      <c r="CW28">
        <f>IFERROR(VLOOKUP(CW$6,Hoja1!$F$2:$XFD$61,AO28+4,FALSE),0)</f>
        <v/>
      </c>
      <c r="CX28">
        <f>IFERROR(VLOOKUP(CX$6,Hoja1!$F$2:$XFD$61,AP28+4,FALSE),0)</f>
        <v/>
      </c>
      <c r="CY28">
        <f>IFERROR(VLOOKUP(CY$6,Hoja1!$F$2:$XFD$61,AQ28+4,FALSE),0)</f>
        <v/>
      </c>
      <c r="CZ28">
        <f>IFERROR(VLOOKUP(CZ$6,Hoja1!$F$2:$XFD$61,AR28+4,FALSE),0)</f>
        <v/>
      </c>
      <c r="DA28">
        <f>IFERROR(VLOOKUP(DA$6,Hoja1!$F$2:$XFD$61,AS28+4,FALSE),0)</f>
        <v/>
      </c>
      <c r="DB28">
        <f>IFERROR(VLOOKUP(DB$6,Hoja1!$F$2:$XFD$61,AT28+4,FALSE),0)</f>
        <v/>
      </c>
      <c r="DC28">
        <f>IFERROR(VLOOKUP(DC$6,Hoja1!$F$2:$XFD$61,AU28+4,FALSE),0)</f>
        <v/>
      </c>
      <c r="DD28">
        <f>IFERROR(VLOOKUP(DD$6,Hoja1!$F$2:$XFD$61,AV28+4,FALSE),0)</f>
        <v/>
      </c>
      <c r="DE28">
        <f>IFERROR(VLOOKUP(DE$6,Hoja1!$F$2:$XFD$61,AW28+4,FALSE),0)</f>
        <v/>
      </c>
      <c r="DF28">
        <f>IFERROR(VLOOKUP(DF$6,Hoja1!$F$2:$XFD$61,AX28+4,FALSE),0)</f>
        <v/>
      </c>
      <c r="DG28">
        <f>IFERROR(VLOOKUP(DG$6,Hoja1!$F$2:$XFD$61,AY28+4,FALSE),0)</f>
        <v/>
      </c>
      <c r="DH28">
        <f>IFERROR(VLOOKUP(DH$6,Hoja1!$F$2:$XFD$61,AZ28+4,FALSE),0)</f>
        <v/>
      </c>
      <c r="DI28">
        <f>IFERROR(VLOOKUP(DI$6,Hoja1!$F$2:$XFD$61,BA28+4,FALSE),0)</f>
        <v/>
      </c>
      <c r="DJ28">
        <f>IFERROR(VLOOKUP(DJ$6,Hoja1!$F$2:$XFD$61,BB28+4,FALSE),0)</f>
        <v/>
      </c>
      <c r="DK28">
        <f>IFERROR(VLOOKUP(DK$6,Hoja1!$F$2:$XFD$61,BC28+4,FALSE),0)</f>
        <v/>
      </c>
      <c r="DL28">
        <f>IFERROR(VLOOKUP(DL$6,Hoja1!$F$2:$XFD$61,BD28+4,FALSE),0)</f>
        <v/>
      </c>
      <c r="DM28">
        <f>IFERROR(VLOOKUP(DM$6,Hoja1!$F$2:$XFD$61,BE28+4,FALSE),0)</f>
        <v/>
      </c>
      <c r="DN28">
        <f>IFERROR(VLOOKUP(DN$6,Hoja1!$F$2:$XFD$61,BF28+4,FALSE),0)</f>
        <v/>
      </c>
      <c r="DO28">
        <f>IFERROR(VLOOKUP(DO$6,Hoja1!$F$2:$XFD$61,BG28+4,FALSE),0)</f>
        <v/>
      </c>
      <c r="DP28">
        <f>IFERROR(VLOOKUP(DP$6,Hoja1!$F$2:$XFD$61,BH28+4,FALSE),0)</f>
        <v/>
      </c>
      <c r="DQ28">
        <f>IFERROR(VLOOKUP(DQ$6,Hoja1!$F$2:$XFD$61,BI28+4,FALSE),0)</f>
        <v/>
      </c>
      <c r="DR28">
        <f>IFERROR(VLOOKUP(DR$6,Hoja1!$F$2:$XFD$61,BJ28+4,FALSE),0)</f>
        <v/>
      </c>
      <c r="DS28">
        <f>IFERROR(VLOOKUP(DS$6,Hoja1!$F$2:$XFD$61,BK28+4,FALSE),0)</f>
        <v/>
      </c>
      <c r="DT28">
        <f>IFERROR(VLOOKUP(DT$6,Hoja1!$F$2:$XFD$61,BL28+4,FALSE),0)</f>
        <v/>
      </c>
      <c r="DU28" s="15">
        <f>IF(COUNT(E28:BL28)=$DV$7,IF(D28="","indique grupo",SUM(BM28:DT28)),"")</f>
        <v/>
      </c>
      <c r="DV28" s="16">
        <f>IF(D28&lt;&gt;"",IF(DU28="","",IF(DU28&gt;=$DU$7*Hoja1!$E$2,4+3/($DU$7*(1-Hoja1!$E$2))*(DU28-$DU$7*Hoja1!$E$2),1+3/($DU$7*Hoja1!$E$2)*DU28)),DU28)</f>
        <v/>
      </c>
      <c r="DW28" s="47" t="b">
        <v>0</v>
      </c>
    </row>
    <row r="29" ht="23.25" customHeight="1">
      <c r="A29" s="17" t="n">
        <v>20</v>
      </c>
      <c r="B29" s="18" t="inlineStr">
        <is>
          <t>VASQUEZ MEDINA DOMINGO DANIEL</t>
        </is>
      </c>
      <c r="C29" s="18" t="inlineStr">
        <is>
          <t>185487849</t>
        </is>
      </c>
      <c r="D29" s="1" t="n"/>
      <c r="E29" s="28" t="n"/>
      <c r="F29" s="19" t="n"/>
      <c r="G29" s="19" t="n"/>
      <c r="H29" s="19" t="n"/>
      <c r="I29" s="19" t="n"/>
      <c r="J29" s="19" t="n"/>
      <c r="K29" s="19" t="n"/>
      <c r="L29" s="19" t="n"/>
      <c r="M29" s="19" t="n"/>
      <c r="N29" s="19" t="n"/>
      <c r="O29" s="19" t="n"/>
      <c r="P29" s="19" t="n"/>
      <c r="Q29" s="19" t="n"/>
      <c r="R29" s="19" t="n"/>
      <c r="S29" s="19" t="n"/>
      <c r="T29" s="19" t="n"/>
      <c r="U29" s="19" t="n"/>
      <c r="V29" s="19" t="n"/>
      <c r="W29" s="19" t="n"/>
      <c r="X29" s="19" t="n"/>
      <c r="Y29" s="19" t="n"/>
      <c r="Z29" s="19" t="n"/>
      <c r="AA29" s="19" t="n"/>
      <c r="AB29" s="19" t="n"/>
      <c r="AC29" s="19" t="n"/>
      <c r="AD29" s="19" t="n"/>
      <c r="AE29" s="19" t="n"/>
      <c r="AF29" s="19" t="n"/>
      <c r="AG29" s="19" t="n"/>
      <c r="AH29" s="19" t="n"/>
      <c r="AI29" s="19" t="n"/>
      <c r="AJ29" s="19" t="n"/>
      <c r="AK29" s="19" t="n"/>
      <c r="AL29" s="19" t="n"/>
      <c r="AM29" s="19" t="n"/>
      <c r="AN29" s="19" t="n"/>
      <c r="AO29" s="19" t="n"/>
      <c r="AP29" s="19" t="n"/>
      <c r="AQ29" s="19" t="n"/>
      <c r="AR29" s="19" t="n"/>
      <c r="AS29" s="19" t="n"/>
      <c r="AT29" s="19" t="n"/>
      <c r="AU29" s="19" t="n"/>
      <c r="AV29" s="19" t="n"/>
      <c r="AW29" s="19" t="n"/>
      <c r="AX29" s="19" t="n"/>
      <c r="AY29" s="19" t="n"/>
      <c r="AZ29" s="19" t="n"/>
      <c r="BA29" s="19" t="n"/>
      <c r="BB29" s="19" t="n"/>
      <c r="BC29" s="19" t="n"/>
      <c r="BD29" s="19" t="n"/>
      <c r="BE29" s="19" t="n"/>
      <c r="BF29" s="19" t="n"/>
      <c r="BG29" s="19" t="n"/>
      <c r="BH29" s="19" t="n"/>
      <c r="BI29" s="19" t="n"/>
      <c r="BJ29" s="19" t="n"/>
      <c r="BK29" s="19" t="n"/>
      <c r="BL29" s="29" t="n"/>
      <c r="BM29">
        <f>IFERROR(VLOOKUP(BM$6,Hoja1!$F$2:$XFD$61,E29+4,FALSE),0)</f>
        <v/>
      </c>
      <c r="BN29">
        <f>IFERROR(VLOOKUP(BN$6,Hoja1!$F$2:$XFD$61,F29+4,FALSE),0)</f>
        <v/>
      </c>
      <c r="BO29">
        <f>IFERROR(VLOOKUP(BO$6,Hoja1!$F$2:$XFD$61,G29+4,FALSE),0)</f>
        <v/>
      </c>
      <c r="BP29">
        <f>IFERROR(VLOOKUP(BP$6,Hoja1!$F$2:$XFD$61,H29+4,FALSE),0)</f>
        <v/>
      </c>
      <c r="BQ29">
        <f>IFERROR(VLOOKUP(BQ$6,Hoja1!$F$2:$XFD$61,I29+4,FALSE),0)</f>
        <v/>
      </c>
      <c r="BR29">
        <f>IFERROR(VLOOKUP(BR$6,Hoja1!$F$2:$XFD$61,J29+4,FALSE),0)</f>
        <v/>
      </c>
      <c r="BS29">
        <f>IFERROR(VLOOKUP(BS$6,Hoja1!$F$2:$XFD$61,K29+4,FALSE),0)</f>
        <v/>
      </c>
      <c r="BT29">
        <f>IFERROR(VLOOKUP(BT$6,Hoja1!$F$2:$XFD$61,L29+4,FALSE),0)</f>
        <v/>
      </c>
      <c r="BU29">
        <f>IFERROR(VLOOKUP(BU$6,Hoja1!$F$2:$XFD$61,M29+4,FALSE),0)</f>
        <v/>
      </c>
      <c r="BV29">
        <f>IFERROR(VLOOKUP(BV$6,Hoja1!$F$2:$XFD$61,N29+4,FALSE),0)</f>
        <v/>
      </c>
      <c r="BW29">
        <f>IFERROR(VLOOKUP(BW$6,Hoja1!$F$2:$XFD$61,O29+4,FALSE),0)</f>
        <v/>
      </c>
      <c r="BX29">
        <f>IFERROR(VLOOKUP(BX$6,Hoja1!$F$2:$XFD$61,P29+4,FALSE),0)</f>
        <v/>
      </c>
      <c r="BY29">
        <f>IFERROR(VLOOKUP(BY$6,Hoja1!$F$2:$XFD$61,Q29+4,FALSE),0)</f>
        <v/>
      </c>
      <c r="BZ29">
        <f>IFERROR(VLOOKUP(BZ$6,Hoja1!$F$2:$XFD$61,R29+4,FALSE),0)</f>
        <v/>
      </c>
      <c r="CA29">
        <f>IFERROR(VLOOKUP(CA$6,Hoja1!$F$2:$XFD$61,S29+4,FALSE),0)</f>
        <v/>
      </c>
      <c r="CB29">
        <f>IFERROR(VLOOKUP(CB$6,Hoja1!$F$2:$XFD$61,T29+4,FALSE),0)</f>
        <v/>
      </c>
      <c r="CC29">
        <f>IFERROR(VLOOKUP(CC$6,Hoja1!$F$2:$XFD$61,U29+4,FALSE),0)</f>
        <v/>
      </c>
      <c r="CD29">
        <f>IFERROR(VLOOKUP(CD$6,Hoja1!$F$2:$XFD$61,V29+4,FALSE),0)</f>
        <v/>
      </c>
      <c r="CE29">
        <f>IFERROR(VLOOKUP(CE$6,Hoja1!$F$2:$XFD$61,W29+4,FALSE),0)</f>
        <v/>
      </c>
      <c r="CF29">
        <f>IFERROR(VLOOKUP(CF$6,Hoja1!$F$2:$XFD$61,X29+4,FALSE),0)</f>
        <v/>
      </c>
      <c r="CG29">
        <f>IFERROR(VLOOKUP(CG$6,Hoja1!$F$2:$XFD$61,Y29+4,FALSE),0)</f>
        <v/>
      </c>
      <c r="CH29">
        <f>IFERROR(VLOOKUP(CH$6,Hoja1!$F$2:$XFD$61,Z29+4,FALSE),0)</f>
        <v/>
      </c>
      <c r="CI29">
        <f>IFERROR(VLOOKUP(CI$6,Hoja1!$F$2:$XFD$61,AA29+4,FALSE),0)</f>
        <v/>
      </c>
      <c r="CJ29">
        <f>IFERROR(VLOOKUP(CJ$6,Hoja1!$F$2:$XFD$61,AB29+4,FALSE),0)</f>
        <v/>
      </c>
      <c r="CK29">
        <f>IFERROR(VLOOKUP(CK$6,Hoja1!$F$2:$XFD$61,AC29+4,FALSE),0)</f>
        <v/>
      </c>
      <c r="CL29">
        <f>IFERROR(VLOOKUP(CL$6,Hoja1!$F$2:$XFD$61,AD29+4,FALSE),0)</f>
        <v/>
      </c>
      <c r="CM29">
        <f>IFERROR(VLOOKUP(CM$6,Hoja1!$F$2:$XFD$61,AE29+4,FALSE),0)</f>
        <v/>
      </c>
      <c r="CN29">
        <f>IFERROR(VLOOKUP(CN$6,Hoja1!$F$2:$XFD$61,AF29+4,FALSE),0)</f>
        <v/>
      </c>
      <c r="CO29">
        <f>IFERROR(VLOOKUP(CO$6,Hoja1!$F$2:$XFD$61,AG29+4,FALSE),0)</f>
        <v/>
      </c>
      <c r="CP29">
        <f>IFERROR(VLOOKUP(CP$6,Hoja1!$F$2:$XFD$61,AH29+4,FALSE),0)</f>
        <v/>
      </c>
      <c r="CQ29">
        <f>IFERROR(VLOOKUP(CQ$6,Hoja1!$F$2:$XFD$61,AI29+4,FALSE),0)</f>
        <v/>
      </c>
      <c r="CR29">
        <f>IFERROR(VLOOKUP(CR$6,Hoja1!$F$2:$XFD$61,AJ29+4,FALSE),0)</f>
        <v/>
      </c>
      <c r="CS29">
        <f>IFERROR(VLOOKUP(CS$6,Hoja1!$F$2:$XFD$61,AK29+4,FALSE),0)</f>
        <v/>
      </c>
      <c r="CT29">
        <f>IFERROR(VLOOKUP(CT$6,Hoja1!$F$2:$XFD$61,AL29+4,FALSE),0)</f>
        <v/>
      </c>
      <c r="CU29">
        <f>IFERROR(VLOOKUP(CU$6,Hoja1!$F$2:$XFD$61,AM29+4,FALSE),0)</f>
        <v/>
      </c>
      <c r="CV29">
        <f>IFERROR(VLOOKUP(CV$6,Hoja1!$F$2:$XFD$61,AN29+4,FALSE),0)</f>
        <v/>
      </c>
      <c r="CW29">
        <f>IFERROR(VLOOKUP(CW$6,Hoja1!$F$2:$XFD$61,AO29+4,FALSE),0)</f>
        <v/>
      </c>
      <c r="CX29">
        <f>IFERROR(VLOOKUP(CX$6,Hoja1!$F$2:$XFD$61,AP29+4,FALSE),0)</f>
        <v/>
      </c>
      <c r="CY29">
        <f>IFERROR(VLOOKUP(CY$6,Hoja1!$F$2:$XFD$61,AQ29+4,FALSE),0)</f>
        <v/>
      </c>
      <c r="CZ29">
        <f>IFERROR(VLOOKUP(CZ$6,Hoja1!$F$2:$XFD$61,AR29+4,FALSE),0)</f>
        <v/>
      </c>
      <c r="DA29">
        <f>IFERROR(VLOOKUP(DA$6,Hoja1!$F$2:$XFD$61,AS29+4,FALSE),0)</f>
        <v/>
      </c>
      <c r="DB29">
        <f>IFERROR(VLOOKUP(DB$6,Hoja1!$F$2:$XFD$61,AT29+4,FALSE),0)</f>
        <v/>
      </c>
      <c r="DC29">
        <f>IFERROR(VLOOKUP(DC$6,Hoja1!$F$2:$XFD$61,AU29+4,FALSE),0)</f>
        <v/>
      </c>
      <c r="DD29">
        <f>IFERROR(VLOOKUP(DD$6,Hoja1!$F$2:$XFD$61,AV29+4,FALSE),0)</f>
        <v/>
      </c>
      <c r="DE29">
        <f>IFERROR(VLOOKUP(DE$6,Hoja1!$F$2:$XFD$61,AW29+4,FALSE),0)</f>
        <v/>
      </c>
      <c r="DF29">
        <f>IFERROR(VLOOKUP(DF$6,Hoja1!$F$2:$XFD$61,AX29+4,FALSE),0)</f>
        <v/>
      </c>
      <c r="DG29">
        <f>IFERROR(VLOOKUP(DG$6,Hoja1!$F$2:$XFD$61,AY29+4,FALSE),0)</f>
        <v/>
      </c>
      <c r="DH29">
        <f>IFERROR(VLOOKUP(DH$6,Hoja1!$F$2:$XFD$61,AZ29+4,FALSE),0)</f>
        <v/>
      </c>
      <c r="DI29">
        <f>IFERROR(VLOOKUP(DI$6,Hoja1!$F$2:$XFD$61,BA29+4,FALSE),0)</f>
        <v/>
      </c>
      <c r="DJ29">
        <f>IFERROR(VLOOKUP(DJ$6,Hoja1!$F$2:$XFD$61,BB29+4,FALSE),0)</f>
        <v/>
      </c>
      <c r="DK29">
        <f>IFERROR(VLOOKUP(DK$6,Hoja1!$F$2:$XFD$61,BC29+4,FALSE),0)</f>
        <v/>
      </c>
      <c r="DL29">
        <f>IFERROR(VLOOKUP(DL$6,Hoja1!$F$2:$XFD$61,BD29+4,FALSE),0)</f>
        <v/>
      </c>
      <c r="DM29">
        <f>IFERROR(VLOOKUP(DM$6,Hoja1!$F$2:$XFD$61,BE29+4,FALSE),0)</f>
        <v/>
      </c>
      <c r="DN29">
        <f>IFERROR(VLOOKUP(DN$6,Hoja1!$F$2:$XFD$61,BF29+4,FALSE),0)</f>
        <v/>
      </c>
      <c r="DO29">
        <f>IFERROR(VLOOKUP(DO$6,Hoja1!$F$2:$XFD$61,BG29+4,FALSE),0)</f>
        <v/>
      </c>
      <c r="DP29">
        <f>IFERROR(VLOOKUP(DP$6,Hoja1!$F$2:$XFD$61,BH29+4,FALSE),0)</f>
        <v/>
      </c>
      <c r="DQ29">
        <f>IFERROR(VLOOKUP(DQ$6,Hoja1!$F$2:$XFD$61,BI29+4,FALSE),0)</f>
        <v/>
      </c>
      <c r="DR29">
        <f>IFERROR(VLOOKUP(DR$6,Hoja1!$F$2:$XFD$61,BJ29+4,FALSE),0)</f>
        <v/>
      </c>
      <c r="DS29">
        <f>IFERROR(VLOOKUP(DS$6,Hoja1!$F$2:$XFD$61,BK29+4,FALSE),0)</f>
        <v/>
      </c>
      <c r="DT29">
        <f>IFERROR(VLOOKUP(DT$6,Hoja1!$F$2:$XFD$61,BL29+4,FALSE),0)</f>
        <v/>
      </c>
      <c r="DU29" s="15">
        <f>IF(COUNT(E29:BL29)=$DV$7,IF(D29="","indique grupo",SUM(BM29:DT29)),"")</f>
        <v/>
      </c>
      <c r="DV29" s="16">
        <f>IF(D29&lt;&gt;"",IF(DU29="","",IF(DU29&gt;=$DU$7*Hoja1!$E$2,4+3/($DU$7*(1-Hoja1!$E$2))*(DU29-$DU$7*Hoja1!$E$2),1+3/($DU$7*Hoja1!$E$2)*DU29)),DU29)</f>
        <v/>
      </c>
      <c r="DW29" s="47" t="b">
        <v>0</v>
      </c>
    </row>
    <row r="30" ht="23.25" customHeight="1"/>
    <row r="31" ht="23.25" customHeight="1"/>
    <row r="32" ht="23.25" customHeight="1"/>
    <row r="33" ht="23.25" customHeight="1"/>
    <row r="34" ht="23.25" customHeight="1"/>
    <row r="35" ht="23.25" customHeight="1"/>
    <row r="36" ht="23.25" customHeight="1"/>
    <row r="37" ht="23.25" customHeight="1"/>
    <row r="38" ht="23.25" customHeight="1"/>
    <row r="39" ht="23.25" customHeight="1"/>
    <row r="40" ht="23.25" customHeight="1"/>
    <row r="41" ht="23.25" customHeight="1"/>
    <row r="42" ht="23.25" customHeight="1"/>
    <row r="43" ht="23.25" customHeight="1"/>
    <row r="44" ht="23.25" customHeight="1"/>
    <row r="45" ht="23.25" customHeight="1"/>
    <row r="46" ht="23.25" customHeight="1"/>
    <row r="47" ht="23.25" customHeight="1"/>
    <row r="48" ht="23.25" customHeight="1"/>
    <row r="49" ht="23.25" customHeight="1"/>
    <row r="50" ht="23.25" customHeight="1"/>
    <row r="51" ht="23.25" customHeight="1"/>
    <row r="52" ht="23.25" customHeight="1"/>
    <row r="53" ht="23.25" customHeight="1"/>
    <row r="54" ht="23.25" customHeight="1"/>
    <row r="55" ht="23.25" customHeight="1"/>
    <row r="56" ht="23.25" customHeight="1"/>
    <row r="57" ht="23.25" customHeight="1"/>
    <row r="58" ht="23.25" customHeight="1"/>
    <row r="59" ht="23.25" customHeight="1"/>
    <row r="60" ht="23.25" customHeight="1"/>
    <row r="61" ht="23.25" customHeight="1"/>
    <row r="62" ht="23.25" customHeight="1"/>
    <row r="63" ht="23.25" customHeight="1"/>
    <row r="64" ht="23.25" customHeight="1"/>
    <row r="65" ht="23.25" customHeight="1"/>
    <row r="66" ht="23.25" customHeight="1"/>
    <row r="67" ht="23.25" customHeight="1"/>
    <row r="68" ht="23.25" customHeight="1"/>
    <row r="69" ht="23.25" customHeight="1" thickBot="1"/>
    <row r="70" ht="8.25" customHeight="1" thickTop="1"/>
  </sheetData>
  <sheetProtection selectLockedCells="1" selectUnlockedCells="0" sheet="1" objects="0" insertRows="1" insertHyperlinks="1" autoFilter="1" scenarios="0" formatColumns="1" deleteColumns="1" insertColumns="1" pivotTables="1" deleteRows="1" formatCells="1" formatRows="1" sort="1" password="D87F"/>
  <mergeCells count="2">
    <mergeCell ref="C8:D8"/>
    <mergeCell ref="C7:D7"/>
  </mergeCells>
  <conditionalFormatting sqref="F7 F9">
    <cfRule type="expression" priority="29" dxfId="7">
      <formula>IF(MOD(F$8,2)=0,TRUE,FALSE)</formula>
    </cfRule>
  </conditionalFormatting>
  <conditionalFormatting sqref="E7 E9">
    <cfRule type="expression" priority="27" dxfId="7">
      <formula>IF(MOD(E$8,2)=0,TRUE,FALSE)</formula>
    </cfRule>
  </conditionalFormatting>
  <conditionalFormatting sqref="G7:BL7 G9:BL9">
    <cfRule type="expression" priority="26" dxfId="7">
      <formula>IF(MOD(G$8,2)=0,TRUE,FALSE)</formula>
    </cfRule>
  </conditionalFormatting>
  <conditionalFormatting sqref="E8:BL8">
    <cfRule type="expression" priority="25" dxfId="7">
      <formula>IF(MOD(E$8,2)=0,TRUE,FALSE)</formula>
    </cfRule>
  </conditionalFormatting>
  <conditionalFormatting sqref="E10:BL69">
    <cfRule type="expression" priority="8" dxfId="7">
      <formula>IF(MOD(E$8,2)=0,TRUE,FALSE)</formula>
    </cfRule>
  </conditionalFormatting>
  <conditionalFormatting sqref="E9:BL9">
    <cfRule type="cellIs" priority="7" operator="equal" dxfId="6">
      <formula>""</formula>
    </cfRule>
  </conditionalFormatting>
  <conditionalFormatting sqref="DV10:DV69">
    <cfRule type="cellIs" priority="6" operator="lessThan" dxfId="5">
      <formula>3.95</formula>
    </cfRule>
  </conditionalFormatting>
  <conditionalFormatting sqref="E10:H69">
    <cfRule type="cellIs" priority="5" operator="equal" dxfId="4">
      <formula>1</formula>
    </cfRule>
    <cfRule type="cellIs" priority="4" operator="equal" dxfId="15">
      <formula>2</formula>
    </cfRule>
    <cfRule type="cellIs" priority="3" operator="equal" dxfId="14">
      <formula>3</formula>
    </cfRule>
    <cfRule type="cellIs" priority="2" operator="equal" dxfId="13">
      <formula>4</formula>
    </cfRule>
    <cfRule type="cellIs" priority="1" operator="equal" dxfId="12">
      <formula>5</formula>
    </cfRule>
  </conditionalFormatting>
  <dataValidations count="1">
    <dataValidation sqref="D10:D69" showDropDown="1" showInputMessage="1" showErrorMessage="1" allowBlank="0" type="whole">
      <formula1>1</formula1>
      <formula2>15</formula2>
    </dataValidation>
  </dataValidations>
  <pageMargins left="0.7086614173228347" right="0.7086614173228347" top="0.7480314960629921" bottom="0.7480314960629921" header="0.3149606299212598" footer="0.3149606299212598"/>
  <pageSetup orientation="portrait" scale="2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Hoja2">
    <outlinePr summaryBelow="1" summaryRight="1"/>
    <pageSetUpPr/>
  </sheetPr>
  <dimension ref="A1:S121"/>
  <sheetViews>
    <sheetView showGridLines="0" topLeftCell="A44" workbookViewId="0">
      <selection activeCell="K60" sqref="K60"/>
    </sheetView>
  </sheetViews>
  <sheetFormatPr baseColWidth="10" defaultRowHeight="15"/>
  <cols>
    <col width="14.42578125" customWidth="1" style="38" min="1" max="1"/>
    <col width="17.140625" bestFit="1" customWidth="1" min="2" max="2"/>
    <col width="29" customWidth="1" min="3" max="3"/>
    <col width="9.85546875" bestFit="1" customWidth="1" min="4" max="4"/>
  </cols>
  <sheetData>
    <row r="1" ht="34.5" customHeight="1">
      <c r="A1" s="41" t="inlineStr">
        <is>
          <t>CARACTER DE INGRESO</t>
        </is>
      </c>
      <c r="B1" s="42" t="inlineStr">
        <is>
          <t>ESCALA</t>
        </is>
      </c>
      <c r="C1" s="42" t="inlineStr">
        <is>
          <t>DESCRIPCIÓN</t>
        </is>
      </c>
      <c r="D1" s="42" t="inlineStr">
        <is>
          <t>PUNTAJES</t>
        </is>
      </c>
      <c r="E1" t="inlineStr">
        <is>
          <t>exigencia</t>
        </is>
      </c>
      <c r="F1" t="inlineStr">
        <is>
          <t>orden</t>
        </is>
      </c>
      <c r="G1" t="inlineStr">
        <is>
          <t>nombre</t>
        </is>
      </c>
      <c r="H1" t="inlineStr">
        <is>
          <t>pregunta</t>
        </is>
      </c>
      <c r="I1">
        <f>SUM(I2:I61)</f>
        <v/>
      </c>
      <c r="J1" t="inlineStr">
        <is>
          <t>PUNTAJE</t>
        </is>
      </c>
    </row>
    <row r="2">
      <c r="A2" s="37" t="n">
        <v>1</v>
      </c>
      <c r="B2" s="2" t="inlineStr">
        <is>
          <t>EB</t>
        </is>
      </c>
      <c r="C2" s="2" t="inlineStr">
        <is>
          <t>En blanco</t>
        </is>
      </c>
      <c r="D2" s="2">
        <f t="array" ref="D2:D10">TRANSPOSE(J2:R2)</f>
        <v/>
      </c>
      <c r="E2" s="22">
        <f>ROUND(E3,2)</f>
        <v/>
      </c>
      <c r="F2" t="n">
        <v>1</v>
      </c>
      <c r="G2" t="inlineStr">
        <is>
          <t>1.  Compresnión del problema</t>
        </is>
      </c>
      <c r="H2" t="n">
        <v>1</v>
      </c>
      <c r="I2">
        <f>MAX(J2:AK2)</f>
        <v/>
      </c>
      <c r="J2" t="n">
        <v>0</v>
      </c>
      <c r="K2" t="n">
        <v>0</v>
      </c>
      <c r="L2" t="n">
        <v>13</v>
      </c>
      <c r="M2" t="n">
        <v>20</v>
      </c>
      <c r="N2" t="n">
        <v>25</v>
      </c>
    </row>
    <row r="3">
      <c r="A3" s="37" t="n">
        <v>2</v>
      </c>
      <c r="B3" s="2" t="inlineStr">
        <is>
          <t>NL</t>
        </is>
      </c>
      <c r="C3" s="2" t="inlineStr">
        <is>
          <t>No logrado</t>
        </is>
      </c>
      <c r="D3" s="2" t="n">
        <v>0</v>
      </c>
      <c r="E3" t="n">
        <v>0.6</v>
      </c>
      <c r="F3" t="n">
        <v>2</v>
      </c>
      <c r="G3" t="inlineStr">
        <is>
          <t>2. Obtención de la información</t>
        </is>
      </c>
      <c r="H3" t="n">
        <v>2</v>
      </c>
      <c r="I3">
        <f>MAX(J3:AK3)</f>
        <v/>
      </c>
      <c r="J3" t="n">
        <v>0</v>
      </c>
      <c r="K3" t="n">
        <v>0</v>
      </c>
      <c r="L3" t="n">
        <v>13</v>
      </c>
      <c r="M3" t="n">
        <v>20</v>
      </c>
      <c r="N3" t="n">
        <v>25</v>
      </c>
    </row>
    <row r="4">
      <c r="A4" s="37" t="n">
        <v>3</v>
      </c>
      <c r="B4" s="2" t="inlineStr">
        <is>
          <t>M</t>
        </is>
      </c>
      <c r="C4" s="2" t="inlineStr">
        <is>
          <t>Mejorable</t>
        </is>
      </c>
      <c r="D4" s="2" t="n">
        <v>13</v>
      </c>
      <c r="F4" t="n">
        <v>3</v>
      </c>
      <c r="G4" t="inlineStr">
        <is>
          <t>3. Uso de la matmeática</t>
        </is>
      </c>
      <c r="H4" t="n">
        <v>3</v>
      </c>
      <c r="I4">
        <f>MAX(J4:AK4)</f>
        <v/>
      </c>
      <c r="J4" t="n">
        <v>0</v>
      </c>
      <c r="K4" t="n">
        <v>0</v>
      </c>
      <c r="L4" t="n">
        <v>13</v>
      </c>
      <c r="M4" t="n">
        <v>20</v>
      </c>
      <c r="N4" t="n">
        <v>25</v>
      </c>
    </row>
    <row r="5">
      <c r="A5" s="37" t="n">
        <v>4</v>
      </c>
      <c r="B5" s="2" t="inlineStr">
        <is>
          <t>B</t>
        </is>
      </c>
      <c r="C5" s="2" t="inlineStr">
        <is>
          <t>Bueno</t>
        </is>
      </c>
      <c r="D5" s="2" t="n">
        <v>20</v>
      </c>
      <c r="F5" t="n">
        <v>4</v>
      </c>
      <c r="G5" t="inlineStr">
        <is>
          <t>4. Interpretación de los resultados</t>
        </is>
      </c>
      <c r="H5" t="n">
        <v>4</v>
      </c>
      <c r="I5">
        <f>MAX(J5:AK5)</f>
        <v/>
      </c>
      <c r="J5" t="n">
        <v>0</v>
      </c>
      <c r="K5" t="n">
        <v>0</v>
      </c>
      <c r="L5" t="n">
        <v>13</v>
      </c>
      <c r="M5" t="n">
        <v>20</v>
      </c>
      <c r="N5" t="n">
        <v>25</v>
      </c>
    </row>
    <row r="6">
      <c r="A6" s="37" t="n">
        <v>5</v>
      </c>
      <c r="B6" s="2" t="inlineStr">
        <is>
          <t>MB</t>
        </is>
      </c>
      <c r="C6" s="2" t="inlineStr">
        <is>
          <t>Muy bueno</t>
        </is>
      </c>
      <c r="D6" s="2" t="n">
        <v>25</v>
      </c>
      <c r="F6" t="n">
        <v>5</v>
      </c>
      <c r="I6">
        <f>MAX(J6:AK6)</f>
        <v/>
      </c>
    </row>
    <row r="7">
      <c r="A7" s="37" t="n"/>
      <c r="B7" s="2" t="n"/>
      <c r="C7" s="2" t="n"/>
      <c r="D7" s="2" t="n">
        <v>0</v>
      </c>
      <c r="F7" t="n">
        <v>6</v>
      </c>
      <c r="I7">
        <f>MAX(J7:AK7)</f>
        <v/>
      </c>
    </row>
    <row r="8">
      <c r="A8" s="37" t="n"/>
      <c r="B8" s="2" t="n"/>
      <c r="C8" s="2" t="n"/>
      <c r="D8" s="2" t="n">
        <v>0</v>
      </c>
      <c r="F8" t="n">
        <v>7</v>
      </c>
      <c r="I8">
        <f>MAX(J8:AK8)</f>
        <v/>
      </c>
    </row>
    <row r="9">
      <c r="A9" s="37" t="n"/>
      <c r="B9" s="2" t="n"/>
      <c r="C9" s="2" t="n"/>
      <c r="D9" s="2" t="n">
        <v>0</v>
      </c>
      <c r="F9" t="n">
        <v>8</v>
      </c>
      <c r="I9">
        <f>MAX(J9:AK9)</f>
        <v/>
      </c>
    </row>
    <row r="10">
      <c r="A10" s="37" t="n"/>
      <c r="B10" s="2" t="n"/>
      <c r="C10" s="2" t="n"/>
      <c r="D10" s="2" t="n">
        <v>0</v>
      </c>
      <c r="F10" t="n">
        <v>9</v>
      </c>
      <c r="I10">
        <f>MAX(J10:AK10)</f>
        <v/>
      </c>
    </row>
    <row r="11">
      <c r="A11" s="37" t="n"/>
      <c r="B11" s="2" t="n"/>
      <c r="C11" s="2" t="n"/>
      <c r="D11" s="2" t="n"/>
      <c r="F11" t="n">
        <v>10</v>
      </c>
      <c r="I11">
        <f>MAX(J11:AK11)</f>
        <v/>
      </c>
    </row>
    <row r="12">
      <c r="A12" s="37" t="n"/>
      <c r="B12" s="2" t="n"/>
      <c r="C12" s="2" t="n"/>
      <c r="D12" s="2" t="n"/>
      <c r="F12" t="n">
        <v>11</v>
      </c>
      <c r="I12">
        <f>MAX(J12:AK12)</f>
        <v/>
      </c>
    </row>
    <row r="13">
      <c r="A13" s="37" t="n"/>
      <c r="B13" s="2" t="n"/>
      <c r="C13" s="2" t="n"/>
      <c r="D13" s="2" t="n"/>
      <c r="F13" t="n">
        <v>12</v>
      </c>
      <c r="I13">
        <f>MAX(J13:AK13)</f>
        <v/>
      </c>
    </row>
    <row r="14">
      <c r="A14" s="37" t="n"/>
      <c r="B14" s="2" t="n"/>
      <c r="F14" t="n">
        <v>13</v>
      </c>
      <c r="I14">
        <f>MAX(J14:AK14)</f>
        <v/>
      </c>
    </row>
    <row r="15">
      <c r="F15" t="n">
        <v>14</v>
      </c>
      <c r="I15">
        <f>MAX(J15:AK15)</f>
        <v/>
      </c>
    </row>
    <row r="16">
      <c r="F16" t="n">
        <v>15</v>
      </c>
      <c r="I16">
        <f>MAX(J16:AK16)</f>
        <v/>
      </c>
    </row>
    <row r="17">
      <c r="F17" t="n">
        <v>16</v>
      </c>
      <c r="I17">
        <f>MAX(J17:AK17)</f>
        <v/>
      </c>
    </row>
    <row r="18">
      <c r="F18" t="n">
        <v>17</v>
      </c>
      <c r="I18">
        <f>MAX(J18:AK18)</f>
        <v/>
      </c>
    </row>
    <row r="19">
      <c r="F19" t="n">
        <v>18</v>
      </c>
      <c r="I19">
        <f>MAX(J19:AK19)</f>
        <v/>
      </c>
    </row>
    <row r="20">
      <c r="F20" t="n">
        <v>19</v>
      </c>
      <c r="I20">
        <f>MAX(J20:AK20)</f>
        <v/>
      </c>
    </row>
    <row r="21" ht="15.75" customHeight="1">
      <c r="F21" t="n">
        <v>20</v>
      </c>
      <c r="I21">
        <f>MAX(J21:AK21)</f>
        <v/>
      </c>
    </row>
    <row r="22">
      <c r="F22" t="n">
        <v>21</v>
      </c>
      <c r="I22">
        <f>MAX(J22:AK22)</f>
        <v/>
      </c>
    </row>
    <row r="23">
      <c r="F23" t="n">
        <v>22</v>
      </c>
      <c r="I23">
        <f>MAX(J23:AK23)</f>
        <v/>
      </c>
    </row>
    <row r="24">
      <c r="F24" t="n">
        <v>23</v>
      </c>
      <c r="I24">
        <f>MAX(J24:AK24)</f>
        <v/>
      </c>
    </row>
    <row r="25">
      <c r="F25" t="n">
        <v>24</v>
      </c>
      <c r="I25">
        <f>MAX(J25:AK25)</f>
        <v/>
      </c>
    </row>
    <row r="26">
      <c r="F26" t="n">
        <v>25</v>
      </c>
      <c r="I26">
        <f>MAX(J26:AK26)</f>
        <v/>
      </c>
    </row>
    <row r="27">
      <c r="F27" t="n">
        <v>26</v>
      </c>
      <c r="I27">
        <f>MAX(J27:AK27)</f>
        <v/>
      </c>
    </row>
    <row r="28">
      <c r="F28" t="n">
        <v>27</v>
      </c>
      <c r="I28">
        <f>MAX(J28:AK28)</f>
        <v/>
      </c>
    </row>
    <row r="29">
      <c r="F29" t="n">
        <v>28</v>
      </c>
      <c r="I29">
        <f>MAX(J29:AK29)</f>
        <v/>
      </c>
    </row>
    <row r="30">
      <c r="F30" t="n">
        <v>29</v>
      </c>
      <c r="I30">
        <f>MAX(J30:AK30)</f>
        <v/>
      </c>
    </row>
    <row r="31">
      <c r="F31" t="n">
        <v>30</v>
      </c>
      <c r="I31">
        <f>MAX(J31:AK31)</f>
        <v/>
      </c>
    </row>
    <row r="32">
      <c r="F32" t="n">
        <v>31</v>
      </c>
      <c r="I32">
        <f>MAX(J32:AK32)</f>
        <v/>
      </c>
    </row>
    <row r="33">
      <c r="F33" t="n">
        <v>32</v>
      </c>
      <c r="I33">
        <f>MAX(J33:AK33)</f>
        <v/>
      </c>
    </row>
    <row r="34">
      <c r="F34" t="n">
        <v>33</v>
      </c>
      <c r="I34">
        <f>MAX(J34:AK34)</f>
        <v/>
      </c>
    </row>
    <row r="35">
      <c r="F35" t="n">
        <v>34</v>
      </c>
      <c r="I35">
        <f>MAX(J35:AK35)</f>
        <v/>
      </c>
    </row>
    <row r="36">
      <c r="F36" t="n">
        <v>35</v>
      </c>
      <c r="I36">
        <f>MAX(J36:AK36)</f>
        <v/>
      </c>
    </row>
    <row r="37">
      <c r="F37" t="n">
        <v>36</v>
      </c>
      <c r="I37">
        <f>MAX(J37:AK37)</f>
        <v/>
      </c>
    </row>
    <row r="38">
      <c r="F38" t="n">
        <v>37</v>
      </c>
      <c r="I38">
        <f>MAX(J38:AK38)</f>
        <v/>
      </c>
    </row>
    <row r="39">
      <c r="F39" t="n">
        <v>38</v>
      </c>
      <c r="I39">
        <f>MAX(J39:AK39)</f>
        <v/>
      </c>
    </row>
    <row r="40">
      <c r="F40" t="n">
        <v>39</v>
      </c>
      <c r="I40">
        <f>MAX(J40:AK40)</f>
        <v/>
      </c>
    </row>
    <row r="41">
      <c r="F41" t="n">
        <v>40</v>
      </c>
      <c r="I41">
        <f>MAX(J41:AK41)</f>
        <v/>
      </c>
    </row>
    <row r="42">
      <c r="F42" t="n">
        <v>41</v>
      </c>
      <c r="I42">
        <f>MAX(J42:AK42)</f>
        <v/>
      </c>
    </row>
    <row r="43">
      <c r="F43" t="n">
        <v>42</v>
      </c>
      <c r="I43">
        <f>MAX(J43:AK43)</f>
        <v/>
      </c>
    </row>
    <row r="44">
      <c r="F44" t="n">
        <v>43</v>
      </c>
      <c r="I44">
        <f>MAX(J44:AK44)</f>
        <v/>
      </c>
    </row>
    <row r="45">
      <c r="F45" t="n">
        <v>44</v>
      </c>
      <c r="I45">
        <f>MAX(J45:AK45)</f>
        <v/>
      </c>
    </row>
    <row r="46">
      <c r="F46" t="n">
        <v>45</v>
      </c>
      <c r="I46">
        <f>MAX(J46:AK46)</f>
        <v/>
      </c>
    </row>
    <row r="47">
      <c r="F47" t="n">
        <v>46</v>
      </c>
      <c r="I47">
        <f>MAX(J47:AK47)</f>
        <v/>
      </c>
    </row>
    <row r="48">
      <c r="F48" t="n">
        <v>47</v>
      </c>
      <c r="I48">
        <f>MAX(J48:AK48)</f>
        <v/>
      </c>
    </row>
    <row r="49">
      <c r="F49" t="n">
        <v>48</v>
      </c>
      <c r="I49">
        <f>MAX(J49:AK49)</f>
        <v/>
      </c>
    </row>
    <row r="50">
      <c r="F50" t="n">
        <v>49</v>
      </c>
      <c r="I50">
        <f>MAX(J50:AK50)</f>
        <v/>
      </c>
    </row>
    <row r="51">
      <c r="F51" t="n">
        <v>50</v>
      </c>
      <c r="I51">
        <f>MAX(J51:AK51)</f>
        <v/>
      </c>
    </row>
    <row r="52">
      <c r="F52" t="n">
        <v>51</v>
      </c>
      <c r="I52">
        <f>MAX(J52:AK52)</f>
        <v/>
      </c>
    </row>
    <row r="53">
      <c r="F53" t="n">
        <v>52</v>
      </c>
      <c r="I53">
        <f>MAX(J53:AK53)</f>
        <v/>
      </c>
    </row>
    <row r="54">
      <c r="F54" t="n">
        <v>53</v>
      </c>
      <c r="I54">
        <f>MAX(J54:AK54)</f>
        <v/>
      </c>
    </row>
    <row r="55">
      <c r="F55" t="n">
        <v>54</v>
      </c>
      <c r="I55">
        <f>MAX(J55:AK55)</f>
        <v/>
      </c>
    </row>
    <row r="56">
      <c r="F56" t="n">
        <v>55</v>
      </c>
      <c r="I56">
        <f>MAX(J56:AK56)</f>
        <v/>
      </c>
    </row>
    <row r="57">
      <c r="F57" t="n">
        <v>56</v>
      </c>
      <c r="I57">
        <f>MAX(J57:AK57)</f>
        <v/>
      </c>
    </row>
    <row r="58">
      <c r="F58" t="n">
        <v>57</v>
      </c>
      <c r="I58">
        <f>MAX(J58:AK58)</f>
        <v/>
      </c>
    </row>
    <row r="59">
      <c r="F59" t="n">
        <v>58</v>
      </c>
      <c r="I59">
        <f>MAX(J59:AK59)</f>
        <v/>
      </c>
    </row>
    <row r="60">
      <c r="F60" t="n">
        <v>59</v>
      </c>
      <c r="I60">
        <f>MAX(J60:AK60)</f>
        <v/>
      </c>
    </row>
    <row r="61">
      <c r="F61" t="n">
        <v>60</v>
      </c>
      <c r="I61">
        <f>MAX(J61:AK61)</f>
        <v/>
      </c>
    </row>
    <row r="62">
      <c r="I62" t="n">
        <v>1</v>
      </c>
      <c r="J62">
        <f>IF(J2&lt;&gt;"",$A$2,"")</f>
        <v/>
      </c>
      <c r="K62" t="n">
        <v>2</v>
      </c>
      <c r="L62">
        <f>IF(COUNTIF($J2:L2,L2)&gt;1,"",IF(L2&lt;&gt;"",$A$4,""))</f>
        <v/>
      </c>
      <c r="M62">
        <f>IF(COUNTIF($J2:M2,M2)&gt;1,"",IF(M2&lt;&gt;"",$A$5,""))</f>
        <v/>
      </c>
      <c r="N62">
        <f>IF(COUNTIF($J2:N2,N2)&gt;1,"",IF(N2&lt;&gt;"",$A$6,""))</f>
        <v/>
      </c>
      <c r="O62">
        <f>IF(COUNTIF($J2:O2,O2)&gt;1,"",IF(O2&lt;&gt;"",$A$7,""))</f>
        <v/>
      </c>
      <c r="P62">
        <f>IF(COUNTIF($J2:P2,P2)&gt;1,"",IF(P2&lt;&gt;"",$A$8,""))</f>
        <v/>
      </c>
      <c r="Q62">
        <f>IF(COUNTIF($J2:Q2,Q2)&gt;1,"",IF(Q2&lt;&gt;"",$A$9,""))</f>
        <v/>
      </c>
      <c r="R62">
        <f>IF(COUNTIF($J2:R2,R2)&gt;1,"",IF(R2&lt;&gt;"",$A$10,""))</f>
        <v/>
      </c>
      <c r="S62" s="39">
        <f>IF(COUNTIF($J2:S2,S2)&gt;1,"",IF(S2&lt;&gt;"",$A$11,""))</f>
        <v/>
      </c>
    </row>
    <row r="63">
      <c r="I63" t="n">
        <v>2</v>
      </c>
      <c r="J63">
        <f>IF(J3&lt;&gt;"",$A$2,"")</f>
        <v/>
      </c>
      <c r="K63" t="n">
        <v>2</v>
      </c>
      <c r="L63">
        <f>IF(COUNTIF($J3:L3,L3)&gt;1,"",IF(L3&lt;&gt;"",$A$4,""))</f>
        <v/>
      </c>
      <c r="M63">
        <f>IF(COUNTIF($J3:M3,M3)&gt;1,"",IF(M3&lt;&gt;"",$A$5,""))</f>
        <v/>
      </c>
      <c r="N63">
        <f>IF(COUNTIF($J3:N3,N3)&gt;1,"",IF(N3&lt;&gt;"",$A$6,""))</f>
        <v/>
      </c>
      <c r="O63">
        <f>IF(COUNTIF($J3:O3,O3)&gt;1,"",IF(O3&lt;&gt;"",$A$7,""))</f>
        <v/>
      </c>
      <c r="P63">
        <f>IF(COUNTIF($J3:P3,P3)&gt;1,"",IF(P3&lt;&gt;"",$A$8,""))</f>
        <v/>
      </c>
      <c r="Q63">
        <f>IF(COUNTIF($J3:Q3,Q3)&gt;1,"",IF(Q3&lt;&gt;"",$A$9,""))</f>
        <v/>
      </c>
      <c r="R63">
        <f>IF(COUNTIF($J3:R3,R3)&gt;1,"",IF(R3&lt;&gt;"",$A$10,""))</f>
        <v/>
      </c>
      <c r="S63" s="39">
        <f>IF(COUNTIF($J3:S3,S3)&gt;1,"",IF(S3&lt;&gt;"",$A$11,""))</f>
        <v/>
      </c>
    </row>
    <row r="64">
      <c r="I64" t="n">
        <v>3</v>
      </c>
      <c r="J64">
        <f>IF(J4&lt;&gt;"",$A$2,"")</f>
        <v/>
      </c>
      <c r="K64" t="n">
        <v>2</v>
      </c>
      <c r="L64">
        <f>IF(COUNTIF($J4:L4,L4)&gt;1,"",IF(L4&lt;&gt;"",$A$4,""))</f>
        <v/>
      </c>
      <c r="M64">
        <f>IF(COUNTIF($J4:M4,M4)&gt;1,"",IF(M4&lt;&gt;"",$A$5,""))</f>
        <v/>
      </c>
      <c r="N64">
        <f>IF(COUNTIF($J4:N4,N4)&gt;1,"",IF(N4&lt;&gt;"",$A$6,""))</f>
        <v/>
      </c>
      <c r="O64">
        <f>IF(COUNTIF($J4:O4,O4)&gt;1,"",IF(O4&lt;&gt;"",$A$7,""))</f>
        <v/>
      </c>
      <c r="P64">
        <f>IF(COUNTIF($J4:P4,P4)&gt;1,"",IF(P4&lt;&gt;"",$A$8,""))</f>
        <v/>
      </c>
      <c r="Q64">
        <f>IF(COUNTIF($J4:Q4,Q4)&gt;1,"",IF(Q4&lt;&gt;"",$A$9,""))</f>
        <v/>
      </c>
      <c r="R64">
        <f>IF(COUNTIF($J4:R4,R4)&gt;1,"",IF(R4&lt;&gt;"",$A$10,""))</f>
        <v/>
      </c>
      <c r="S64" s="39">
        <f>IF(COUNTIF($J4:S4,S4)&gt;1,"",IF(S4&lt;&gt;"",$A$11,""))</f>
        <v/>
      </c>
    </row>
    <row r="65">
      <c r="I65" t="n">
        <v>4</v>
      </c>
      <c r="J65">
        <f>IF(J5&lt;&gt;"",$A$2,"")</f>
        <v/>
      </c>
      <c r="K65" t="n">
        <v>2</v>
      </c>
      <c r="L65">
        <f>IF(COUNTIF($J5:L5,L5)&gt;1,"",IF(L5&lt;&gt;"",$A$4,""))</f>
        <v/>
      </c>
      <c r="M65">
        <f>IF(COUNTIF($J5:M5,M5)&gt;1,"",IF(M5&lt;&gt;"",$A$5,""))</f>
        <v/>
      </c>
      <c r="N65">
        <f>IF(COUNTIF($J5:N5,N5)&gt;1,"",IF(N5&lt;&gt;"",$A$6,""))</f>
        <v/>
      </c>
      <c r="O65">
        <f>IF(COUNTIF($J5:O5,O5)&gt;1,"",IF(O5&lt;&gt;"",$A$7,""))</f>
        <v/>
      </c>
      <c r="P65">
        <f>IF(COUNTIF($J5:P5,P5)&gt;1,"",IF(P5&lt;&gt;"",$A$8,""))</f>
        <v/>
      </c>
      <c r="Q65">
        <f>IF(COUNTIF($J5:Q5,Q5)&gt;1,"",IF(Q5&lt;&gt;"",$A$9,""))</f>
        <v/>
      </c>
      <c r="R65">
        <f>IF(COUNTIF($J5:R5,R5)&gt;1,"",IF(R5&lt;&gt;"",$A$10,""))</f>
        <v/>
      </c>
      <c r="S65" s="39">
        <f>IF(COUNTIF($J5:S5,S5)&gt;1,"",IF(S5&lt;&gt;"",$A$11,""))</f>
        <v/>
      </c>
    </row>
    <row r="66">
      <c r="I66" t="n">
        <v>5</v>
      </c>
      <c r="J66">
        <f>IF(J6&lt;&gt;"",$A$2,"")</f>
        <v/>
      </c>
      <c r="K66">
        <f>IF(COUNTIF($J6:K6,K6)&gt;1,"",IF(K6&lt;&gt;"",$A$3,""))</f>
        <v/>
      </c>
      <c r="L66">
        <f>IF(COUNTIF($J6:L6,L6)&gt;1,"",IF(L6&lt;&gt;"",$A$4,""))</f>
        <v/>
      </c>
      <c r="M66">
        <f>IF(COUNTIF($J6:M6,M6)&gt;1,"",IF(M6&lt;&gt;"",$A$5,""))</f>
        <v/>
      </c>
      <c r="N66">
        <f>IF(COUNTIF($J6:N6,N6)&gt;1,"",IF(N6&lt;&gt;"",$A$6,""))</f>
        <v/>
      </c>
      <c r="O66">
        <f>IF(COUNTIF($J6:O6,O6)&gt;1,"",IF(O6&lt;&gt;"",$A$7,""))</f>
        <v/>
      </c>
      <c r="P66">
        <f>IF(COUNTIF($J6:P6,P6)&gt;1,"",IF(P6&lt;&gt;"",$A$8,""))</f>
        <v/>
      </c>
      <c r="Q66">
        <f>IF(COUNTIF($J6:Q6,Q6)&gt;1,"",IF(Q6&lt;&gt;"",$A$9,""))</f>
        <v/>
      </c>
      <c r="R66">
        <f>IF(COUNTIF($J6:R6,R6)&gt;1,"",IF(R6&lt;&gt;"",$A$10,""))</f>
        <v/>
      </c>
      <c r="S66" s="39">
        <f>IF(COUNTIF($J6:S6,S6)&gt;1,"",IF(S6&lt;&gt;"",$A$11,""))</f>
        <v/>
      </c>
    </row>
    <row r="67">
      <c r="I67" t="n">
        <v>6</v>
      </c>
      <c r="J67">
        <f>IF(J7&lt;&gt;"",$A$2,"")</f>
        <v/>
      </c>
      <c r="K67">
        <f>IF(COUNTIF($J7:K7,K7)&gt;1,"",IF(K7&lt;&gt;"",$A$3,""))</f>
        <v/>
      </c>
      <c r="L67">
        <f>IF(COUNTIF($J7:L7,L7)&gt;1,"",IF(L7&lt;&gt;"",$A$4,""))</f>
        <v/>
      </c>
      <c r="M67">
        <f>IF(COUNTIF($J7:M7,M7)&gt;1,"",IF(M7&lt;&gt;"",$A$5,""))</f>
        <v/>
      </c>
      <c r="N67">
        <f>IF(COUNTIF($J7:N7,N7)&gt;1,"",IF(N7&lt;&gt;"",$A$6,""))</f>
        <v/>
      </c>
      <c r="O67">
        <f>IF(COUNTIF($J7:O7,O7)&gt;1,"",IF(O7&lt;&gt;"",$A$7,""))</f>
        <v/>
      </c>
      <c r="P67">
        <f>IF(COUNTIF($J7:P7,P7)&gt;1,"",IF(P7&lt;&gt;"",$A$8,""))</f>
        <v/>
      </c>
      <c r="Q67">
        <f>IF(COUNTIF($J7:Q7,Q7)&gt;1,"",IF(Q7&lt;&gt;"",$A$9,""))</f>
        <v/>
      </c>
      <c r="R67">
        <f>IF(COUNTIF($J7:R7,R7)&gt;1,"",IF(R7&lt;&gt;"",$A$10,""))</f>
        <v/>
      </c>
      <c r="S67" s="39">
        <f>IF(COUNTIF($J7:S7,S7)&gt;1,"",IF(S7&lt;&gt;"",$A$11,""))</f>
        <v/>
      </c>
    </row>
    <row r="68">
      <c r="I68" t="n">
        <v>7</v>
      </c>
      <c r="J68">
        <f>IF(J8&lt;&gt;"",$A$2,"")</f>
        <v/>
      </c>
      <c r="K68">
        <f>IF(COUNTIF($J8:K8,K8)&gt;1,"",IF(K8&lt;&gt;"",$A$3,""))</f>
        <v/>
      </c>
      <c r="L68">
        <f>IF(COUNTIF($J8:L8,L8)&gt;1,"",IF(L8&lt;&gt;"",$A$4,""))</f>
        <v/>
      </c>
      <c r="M68">
        <f>IF(COUNTIF($J8:M8,M8)&gt;1,"",IF(M8&lt;&gt;"",$A$5,""))</f>
        <v/>
      </c>
      <c r="N68">
        <f>IF(COUNTIF($J8:N8,N8)&gt;1,"",IF(N8&lt;&gt;"",$A$6,""))</f>
        <v/>
      </c>
      <c r="O68">
        <f>IF(COUNTIF($J8:O8,O8)&gt;1,"",IF(O8&lt;&gt;"",$A$7,""))</f>
        <v/>
      </c>
      <c r="P68">
        <f>IF(COUNTIF($J8:P8,P8)&gt;1,"",IF(P8&lt;&gt;"",$A$8,""))</f>
        <v/>
      </c>
      <c r="Q68">
        <f>IF(COUNTIF($J8:Q8,Q8)&gt;1,"",IF(Q8&lt;&gt;"",$A$9,""))</f>
        <v/>
      </c>
      <c r="R68">
        <f>IF(COUNTIF($J8:R8,R8)&gt;1,"",IF(R8&lt;&gt;"",$A$10,""))</f>
        <v/>
      </c>
      <c r="S68" s="39">
        <f>IF(COUNTIF($J8:S8,S8)&gt;1,"",IF(S8&lt;&gt;"",$A$11,""))</f>
        <v/>
      </c>
    </row>
    <row r="69">
      <c r="I69" t="n">
        <v>8</v>
      </c>
      <c r="J69">
        <f>IF(J9&lt;&gt;"",$A$2,"")</f>
        <v/>
      </c>
      <c r="K69">
        <f>IF(COUNTIF($J9:K9,K9)&gt;1,"",IF(K9&lt;&gt;"",$A$3,""))</f>
        <v/>
      </c>
      <c r="L69">
        <f>IF(COUNTIF($J9:L9,L9)&gt;1,"",IF(L9&lt;&gt;"",$A$4,""))</f>
        <v/>
      </c>
      <c r="M69">
        <f>IF(COUNTIF($J9:M9,M9)&gt;1,"",IF(M9&lt;&gt;"",$A$5,""))</f>
        <v/>
      </c>
      <c r="N69">
        <f>IF(COUNTIF($J9:N9,N9)&gt;1,"",IF(N9&lt;&gt;"",$A$6,""))</f>
        <v/>
      </c>
      <c r="O69">
        <f>IF(COUNTIF($J9:O9,O9)&gt;1,"",IF(O9&lt;&gt;"",$A$7,""))</f>
        <v/>
      </c>
      <c r="P69">
        <f>IF(COUNTIF($J9:P9,P9)&gt;1,"",IF(P9&lt;&gt;"",$A$8,""))</f>
        <v/>
      </c>
      <c r="Q69">
        <f>IF(COUNTIF($J9:Q9,Q9)&gt;1,"",IF(Q9&lt;&gt;"",$A$9,""))</f>
        <v/>
      </c>
      <c r="R69">
        <f>IF(COUNTIF($J9:R9,R9)&gt;1,"",IF(R9&lt;&gt;"",$A$10,""))</f>
        <v/>
      </c>
      <c r="S69" s="39">
        <f>IF(COUNTIF($J9:S9,S9)&gt;1,"",IF(S9&lt;&gt;"",$A$11,""))</f>
        <v/>
      </c>
    </row>
    <row r="70">
      <c r="I70" t="n">
        <v>9</v>
      </c>
      <c r="J70">
        <f>IF(J10&lt;&gt;"",$A$2,"")</f>
        <v/>
      </c>
      <c r="K70">
        <f>IF(COUNTIF($J10:K10,K10)&gt;1,"",IF(K10&lt;&gt;"",$A$3,""))</f>
        <v/>
      </c>
      <c r="L70">
        <f>IF(COUNTIF($J10:L10,L10)&gt;1,"",IF(L10&lt;&gt;"",$A$4,""))</f>
        <v/>
      </c>
      <c r="M70">
        <f>IF(COUNTIF($J10:M10,M10)&gt;1,"",IF(M10&lt;&gt;"",$A$5,""))</f>
        <v/>
      </c>
      <c r="N70">
        <f>IF(COUNTIF($J10:N10,N10)&gt;1,"",IF(N10&lt;&gt;"",$A$6,""))</f>
        <v/>
      </c>
      <c r="O70">
        <f>IF(COUNTIF($J10:O10,O10)&gt;1,"",IF(O10&lt;&gt;"",$A$7,""))</f>
        <v/>
      </c>
      <c r="P70">
        <f>IF(COUNTIF($J10:P10,P10)&gt;1,"",IF(P10&lt;&gt;"",$A$8,""))</f>
        <v/>
      </c>
      <c r="Q70">
        <f>IF(COUNTIF($J10:Q10,Q10)&gt;1,"",IF(Q10&lt;&gt;"",$A$9,""))</f>
        <v/>
      </c>
      <c r="R70">
        <f>IF(COUNTIF($J10:R10,R10)&gt;1,"",IF(R10&lt;&gt;"",$A$10,""))</f>
        <v/>
      </c>
      <c r="S70" s="39">
        <f>IF(COUNTIF($J10:S10,S10)&gt;1,"",IF(S10&lt;&gt;"",$A$11,""))</f>
        <v/>
      </c>
    </row>
    <row r="71">
      <c r="I71" t="n">
        <v>10</v>
      </c>
      <c r="J71">
        <f>IF(J11&lt;&gt;"",$A$2,"")</f>
        <v/>
      </c>
      <c r="K71">
        <f>IF(COUNTIF($J11:K11,K11)&gt;1,"",IF(K11&lt;&gt;"",$A$3,""))</f>
        <v/>
      </c>
      <c r="L71">
        <f>IF(COUNTIF($J11:L11,L11)&gt;1,"",IF(L11&lt;&gt;"",$A$4,""))</f>
        <v/>
      </c>
      <c r="M71">
        <f>IF(COUNTIF($J11:M11,M11)&gt;1,"",IF(M11&lt;&gt;"",$A$5,""))</f>
        <v/>
      </c>
      <c r="N71">
        <f>IF(COUNTIF($J11:N11,N11)&gt;1,"",IF(N11&lt;&gt;"",$A$6,""))</f>
        <v/>
      </c>
      <c r="O71">
        <f>IF(COUNTIF($J11:O11,O11)&gt;1,"",IF(O11&lt;&gt;"",$A$7,""))</f>
        <v/>
      </c>
      <c r="P71">
        <f>IF(COUNTIF($J11:P11,P11)&gt;1,"",IF(P11&lt;&gt;"",$A$8,""))</f>
        <v/>
      </c>
      <c r="Q71">
        <f>IF(COUNTIF($J11:Q11,Q11)&gt;1,"",IF(Q11&lt;&gt;"",$A$9,""))</f>
        <v/>
      </c>
      <c r="R71">
        <f>IF(COUNTIF($J11:R11,R11)&gt;1,"",IF(R11&lt;&gt;"",$A$10,""))</f>
        <v/>
      </c>
      <c r="S71" s="39">
        <f>IF(COUNTIF($J11:S11,S11)&gt;1,"",IF(S11&lt;&gt;"",$A$11,""))</f>
        <v/>
      </c>
    </row>
    <row r="72">
      <c r="I72" t="n">
        <v>11</v>
      </c>
      <c r="J72">
        <f>IF(J12&lt;&gt;"",$A$2,"")</f>
        <v/>
      </c>
      <c r="K72">
        <f>IF(COUNTIF($J12:K12,K12)&gt;1,"",IF(K12&lt;&gt;"",$A$3,""))</f>
        <v/>
      </c>
      <c r="L72">
        <f>IF(COUNTIF($J12:L12,L12)&gt;1,"",IF(L12&lt;&gt;"",$A$4,""))</f>
        <v/>
      </c>
      <c r="M72">
        <f>IF(COUNTIF($J12:M12,M12)&gt;1,"",IF(M12&lt;&gt;"",$A$5,""))</f>
        <v/>
      </c>
      <c r="N72">
        <f>IF(COUNTIF($J12:N12,N12)&gt;1,"",IF(N12&lt;&gt;"",$A$6,""))</f>
        <v/>
      </c>
      <c r="O72">
        <f>IF(COUNTIF($J12:O12,O12)&gt;1,"",IF(O12&lt;&gt;"",$A$7,""))</f>
        <v/>
      </c>
      <c r="P72">
        <f>IF(COUNTIF($J12:P12,P12)&gt;1,"",IF(P12&lt;&gt;"",$A$8,""))</f>
        <v/>
      </c>
      <c r="Q72">
        <f>IF(COUNTIF($J12:Q12,Q12)&gt;1,"",IF(Q12&lt;&gt;"",$A$9,""))</f>
        <v/>
      </c>
      <c r="R72">
        <f>IF(COUNTIF($J12:R12,R12)&gt;1,"",IF(R12&lt;&gt;"",$A$10,""))</f>
        <v/>
      </c>
      <c r="S72" s="39">
        <f>IF(COUNTIF($J12:S12,S12)&gt;1,"",IF(S12&lt;&gt;"",$A$11,""))</f>
        <v/>
      </c>
    </row>
    <row r="73">
      <c r="I73" t="n">
        <v>12</v>
      </c>
      <c r="J73">
        <f>IF(J13&lt;&gt;"",$A$2,"")</f>
        <v/>
      </c>
      <c r="K73">
        <f>IF(COUNTIF($J13:K13,K13)&gt;1,"",IF(K13&lt;&gt;"",$A$3,""))</f>
        <v/>
      </c>
      <c r="L73">
        <f>IF(COUNTIF($J13:L13,L13)&gt;1,"",IF(L13&lt;&gt;"",$A$4,""))</f>
        <v/>
      </c>
      <c r="M73">
        <f>IF(COUNTIF($J13:M13,M13)&gt;1,"",IF(M13&lt;&gt;"",$A$5,""))</f>
        <v/>
      </c>
      <c r="N73">
        <f>IF(COUNTIF($J13:N13,N13)&gt;1,"",IF(N13&lt;&gt;"",$A$6,""))</f>
        <v/>
      </c>
      <c r="O73">
        <f>IF(COUNTIF($J13:O13,O13)&gt;1,"",IF(O13&lt;&gt;"",$A$7,""))</f>
        <v/>
      </c>
      <c r="P73">
        <f>IF(COUNTIF($J13:P13,P13)&gt;1,"",IF(P13&lt;&gt;"",$A$8,""))</f>
        <v/>
      </c>
      <c r="Q73">
        <f>IF(COUNTIF($J13:Q13,Q13)&gt;1,"",IF(Q13&lt;&gt;"",$A$9,""))</f>
        <v/>
      </c>
      <c r="R73">
        <f>IF(COUNTIF($J13:R13,R13)&gt;1,"",IF(R13&lt;&gt;"",$A$10,""))</f>
        <v/>
      </c>
      <c r="S73" s="39">
        <f>IF(COUNTIF($J13:S13,S13)&gt;1,"",IF(S13&lt;&gt;"",$A$11,""))</f>
        <v/>
      </c>
    </row>
    <row r="74">
      <c r="I74" t="n">
        <v>13</v>
      </c>
      <c r="J74">
        <f>IF(J14&lt;&gt;"",$A$2,"")</f>
        <v/>
      </c>
      <c r="K74">
        <f>IF(COUNTIF($J14:K14,K14)&gt;1,"",IF(K14&lt;&gt;"",$A$3,""))</f>
        <v/>
      </c>
      <c r="L74">
        <f>IF(COUNTIF($J14:L14,L14)&gt;1,"",IF(L14&lt;&gt;"",$A$4,""))</f>
        <v/>
      </c>
      <c r="M74">
        <f>IF(COUNTIF($J14:M14,M14)&gt;1,"",IF(M14&lt;&gt;"",$A$5,""))</f>
        <v/>
      </c>
      <c r="N74">
        <f>IF(COUNTIF($J14:N14,N14)&gt;1,"",IF(N14&lt;&gt;"",$A$6,""))</f>
        <v/>
      </c>
      <c r="O74">
        <f>IF(COUNTIF($J14:O14,O14)&gt;1,"",IF(O14&lt;&gt;"",$A$7,""))</f>
        <v/>
      </c>
      <c r="P74">
        <f>IF(COUNTIF($J14:P14,P14)&gt;1,"",IF(P14&lt;&gt;"",$A$8,""))</f>
        <v/>
      </c>
      <c r="Q74">
        <f>IF(COUNTIF($J14:Q14,Q14)&gt;1,"",IF(Q14&lt;&gt;"",$A$9,""))</f>
        <v/>
      </c>
      <c r="R74">
        <f>IF(COUNTIF($J14:R14,R14)&gt;1,"",IF(R14&lt;&gt;"",$A$10,""))</f>
        <v/>
      </c>
      <c r="S74" s="39">
        <f>IF(COUNTIF($J14:S14,S14)&gt;1,"",IF(S14&lt;&gt;"",$A$11,""))</f>
        <v/>
      </c>
    </row>
    <row r="75">
      <c r="I75" t="n">
        <v>14</v>
      </c>
      <c r="J75">
        <f>IF(J15&lt;&gt;"",$A$2,"")</f>
        <v/>
      </c>
      <c r="K75">
        <f>IF(COUNTIF($J15:K15,K15)&gt;1,"",IF(K15&lt;&gt;"",$A$3,""))</f>
        <v/>
      </c>
      <c r="L75">
        <f>IF(COUNTIF($J15:L15,L15)&gt;1,"",IF(L15&lt;&gt;"",$A$4,""))</f>
        <v/>
      </c>
      <c r="M75">
        <f>IF(COUNTIF($J15:M15,M15)&gt;1,"",IF(M15&lt;&gt;"",$A$5,""))</f>
        <v/>
      </c>
      <c r="N75">
        <f>IF(COUNTIF($J15:N15,N15)&gt;1,"",IF(N15&lt;&gt;"",$A$6,""))</f>
        <v/>
      </c>
      <c r="O75">
        <f>IF(COUNTIF($J15:O15,O15)&gt;1,"",IF(O15&lt;&gt;"",$A$7,""))</f>
        <v/>
      </c>
      <c r="P75">
        <f>IF(COUNTIF($J15:P15,P15)&gt;1,"",IF(P15&lt;&gt;"",$A$8,""))</f>
        <v/>
      </c>
      <c r="Q75">
        <f>IF(COUNTIF($J15:Q15,Q15)&gt;1,"",IF(Q15&lt;&gt;"",$A$9,""))</f>
        <v/>
      </c>
      <c r="R75">
        <f>IF(COUNTIF($J15:R15,R15)&gt;1,"",IF(R15&lt;&gt;"",$A$10,""))</f>
        <v/>
      </c>
      <c r="S75" s="39">
        <f>IF(COUNTIF($J15:S15,S15)&gt;1,"",IF(S15&lt;&gt;"",$A$11,""))</f>
        <v/>
      </c>
    </row>
    <row r="76">
      <c r="I76" t="n">
        <v>15</v>
      </c>
      <c r="J76">
        <f>IF(J16&lt;&gt;"",$A$2,"")</f>
        <v/>
      </c>
      <c r="K76">
        <f>IF(COUNTIF($J16:K16,K16)&gt;1,"",IF(K16&lt;&gt;"",$A$3,""))</f>
        <v/>
      </c>
      <c r="L76">
        <f>IF(COUNTIF($J16:L16,L16)&gt;1,"",IF(L16&lt;&gt;"",$A$4,""))</f>
        <v/>
      </c>
      <c r="M76">
        <f>IF(COUNTIF($J16:M16,M16)&gt;1,"",IF(M16&lt;&gt;"",$A$5,""))</f>
        <v/>
      </c>
      <c r="N76">
        <f>IF(COUNTIF($J16:N16,N16)&gt;1,"",IF(N16&lt;&gt;"",$A$6,""))</f>
        <v/>
      </c>
      <c r="O76">
        <f>IF(COUNTIF($J16:O16,O16)&gt;1,"",IF(O16&lt;&gt;"",$A$7,""))</f>
        <v/>
      </c>
      <c r="P76">
        <f>IF(COUNTIF($J16:P16,P16)&gt;1,"",IF(P16&lt;&gt;"",$A$8,""))</f>
        <v/>
      </c>
      <c r="Q76">
        <f>IF(COUNTIF($J16:Q16,Q16)&gt;1,"",IF(Q16&lt;&gt;"",$A$9,""))</f>
        <v/>
      </c>
      <c r="R76">
        <f>IF(COUNTIF($J16:R16,R16)&gt;1,"",IF(R16&lt;&gt;"",$A$10,""))</f>
        <v/>
      </c>
      <c r="S76" s="39">
        <f>IF(COUNTIF($J16:S16,S16)&gt;1,"",IF(S16&lt;&gt;"",$A$11,""))</f>
        <v/>
      </c>
    </row>
    <row r="77">
      <c r="I77" t="n">
        <v>16</v>
      </c>
      <c r="J77">
        <f>IF(J17&lt;&gt;"",$A$2,"")</f>
        <v/>
      </c>
      <c r="K77">
        <f>IF(COUNTIF($J17:K17,K17)&gt;1,"",IF(K17&lt;&gt;"",$A$3,""))</f>
        <v/>
      </c>
      <c r="L77">
        <f>IF(COUNTIF($J17:L17,L17)&gt;1,"",IF(L17&lt;&gt;"",$A$4,""))</f>
        <v/>
      </c>
      <c r="M77">
        <f>IF(COUNTIF($J17:M17,M17)&gt;1,"",IF(M17&lt;&gt;"",$A$5,""))</f>
        <v/>
      </c>
      <c r="N77">
        <f>IF(COUNTIF($J17:N17,N17)&gt;1,"",IF(N17&lt;&gt;"",$A$6,""))</f>
        <v/>
      </c>
      <c r="O77">
        <f>IF(COUNTIF($J17:O17,O17)&gt;1,"",IF(O17&lt;&gt;"",$A$7,""))</f>
        <v/>
      </c>
      <c r="P77">
        <f>IF(COUNTIF($J17:P17,P17)&gt;1,"",IF(P17&lt;&gt;"",$A$8,""))</f>
        <v/>
      </c>
      <c r="Q77">
        <f>IF(COUNTIF($J17:Q17,Q17)&gt;1,"",IF(Q17&lt;&gt;"",$A$9,""))</f>
        <v/>
      </c>
      <c r="R77">
        <f>IF(COUNTIF($J17:R17,R17)&gt;1,"",IF(R17&lt;&gt;"",$A$10,""))</f>
        <v/>
      </c>
      <c r="S77" s="39">
        <f>IF(COUNTIF($J17:S17,S17)&gt;1,"",IF(S17&lt;&gt;"",$A$11,""))</f>
        <v/>
      </c>
    </row>
    <row r="78">
      <c r="I78" t="n">
        <v>17</v>
      </c>
      <c r="J78">
        <f>IF(J18&lt;&gt;"",$A$2,"")</f>
        <v/>
      </c>
      <c r="K78">
        <f>IF(COUNTIF($J18:K18,K18)&gt;1,"",IF(K18&lt;&gt;"",$A$3,""))</f>
        <v/>
      </c>
      <c r="L78">
        <f>IF(COUNTIF($J18:L18,L18)&gt;1,"",IF(L18&lt;&gt;"",$A$4,""))</f>
        <v/>
      </c>
      <c r="M78">
        <f>IF(COUNTIF($J18:M18,M18)&gt;1,"",IF(M18&lt;&gt;"",$A$5,""))</f>
        <v/>
      </c>
      <c r="N78">
        <f>IF(COUNTIF($J18:N18,N18)&gt;1,"",IF(N18&lt;&gt;"",$A$6,""))</f>
        <v/>
      </c>
      <c r="O78">
        <f>IF(COUNTIF($J18:O18,O18)&gt;1,"",IF(O18&lt;&gt;"",$A$7,""))</f>
        <v/>
      </c>
      <c r="P78">
        <f>IF(COUNTIF($J18:P18,P18)&gt;1,"",IF(P18&lt;&gt;"",$A$8,""))</f>
        <v/>
      </c>
      <c r="Q78">
        <f>IF(COUNTIF($J18:Q18,Q18)&gt;1,"",IF(Q18&lt;&gt;"",$A$9,""))</f>
        <v/>
      </c>
      <c r="R78">
        <f>IF(COUNTIF($J18:R18,R18)&gt;1,"",IF(R18&lt;&gt;"",$A$10,""))</f>
        <v/>
      </c>
      <c r="S78" s="39">
        <f>IF(COUNTIF($J18:S18,S18)&gt;1,"",IF(S18&lt;&gt;"",$A$11,""))</f>
        <v/>
      </c>
    </row>
    <row r="79">
      <c r="I79" t="n">
        <v>18</v>
      </c>
      <c r="J79">
        <f>IF(J19&lt;&gt;"",$A$2,"")</f>
        <v/>
      </c>
      <c r="K79">
        <f>IF(COUNTIF($J19:K19,K19)&gt;1,"",IF(K19&lt;&gt;"",$A$3,""))</f>
        <v/>
      </c>
      <c r="L79">
        <f>IF(COUNTIF($J19:L19,L19)&gt;1,"",IF(L19&lt;&gt;"",$A$4,""))</f>
        <v/>
      </c>
      <c r="M79">
        <f>IF(COUNTIF($J19:M19,M19)&gt;1,"",IF(M19&lt;&gt;"",$A$5,""))</f>
        <v/>
      </c>
      <c r="N79">
        <f>IF(COUNTIF($J19:N19,N19)&gt;1,"",IF(N19&lt;&gt;"",$A$6,""))</f>
        <v/>
      </c>
      <c r="O79">
        <f>IF(COUNTIF($J19:O19,O19)&gt;1,"",IF(O19&lt;&gt;"",$A$7,""))</f>
        <v/>
      </c>
      <c r="P79">
        <f>IF(COUNTIF($J19:P19,P19)&gt;1,"",IF(P19&lt;&gt;"",$A$8,""))</f>
        <v/>
      </c>
      <c r="Q79">
        <f>IF(COUNTIF($J19:Q19,Q19)&gt;1,"",IF(Q19&lt;&gt;"",$A$9,""))</f>
        <v/>
      </c>
      <c r="R79">
        <f>IF(COUNTIF($J19:R19,R19)&gt;1,"",IF(R19&lt;&gt;"",$A$10,""))</f>
        <v/>
      </c>
      <c r="S79" s="39">
        <f>IF(COUNTIF($J19:S19,S19)&gt;1,"",IF(S19&lt;&gt;"",$A$11,""))</f>
        <v/>
      </c>
    </row>
    <row r="80">
      <c r="I80" t="n">
        <v>19</v>
      </c>
      <c r="J80">
        <f>IF(J20&lt;&gt;"",$A$2,"")</f>
        <v/>
      </c>
      <c r="K80">
        <f>IF(COUNTIF($J20:K20,K20)&gt;1,"",IF(K20&lt;&gt;"",$A$3,""))</f>
        <v/>
      </c>
      <c r="L80">
        <f>IF(COUNTIF($J20:L20,L20)&gt;1,"",IF(L20&lt;&gt;"",$A$4,""))</f>
        <v/>
      </c>
      <c r="M80">
        <f>IF(COUNTIF($J20:M20,M20)&gt;1,"",IF(M20&lt;&gt;"",$A$5,""))</f>
        <v/>
      </c>
      <c r="N80">
        <f>IF(COUNTIF($J20:N20,N20)&gt;1,"",IF(N20&lt;&gt;"",$A$6,""))</f>
        <v/>
      </c>
      <c r="O80">
        <f>IF(COUNTIF($J20:O20,O20)&gt;1,"",IF(O20&lt;&gt;"",$A$7,""))</f>
        <v/>
      </c>
      <c r="P80">
        <f>IF(COUNTIF($J20:P20,P20)&gt;1,"",IF(P20&lt;&gt;"",$A$8,""))</f>
        <v/>
      </c>
      <c r="Q80">
        <f>IF(COUNTIF($J20:Q20,Q20)&gt;1,"",IF(Q20&lt;&gt;"",$A$9,""))</f>
        <v/>
      </c>
      <c r="R80">
        <f>IF(COUNTIF($J20:R20,R20)&gt;1,"",IF(R20&lt;&gt;"",$A$10,""))</f>
        <v/>
      </c>
      <c r="S80" s="39">
        <f>IF(COUNTIF($J20:S20,S20)&gt;1,"",IF(S20&lt;&gt;"",$A$11,""))</f>
        <v/>
      </c>
    </row>
    <row r="81">
      <c r="I81" t="n">
        <v>20</v>
      </c>
      <c r="J81">
        <f>IF(J21&lt;&gt;"",$A$2,"")</f>
        <v/>
      </c>
      <c r="K81">
        <f>IF(COUNTIF($J21:K21,K21)&gt;1,"",IF(K21&lt;&gt;"",$A$3,""))</f>
        <v/>
      </c>
      <c r="L81">
        <f>IF(COUNTIF($J21:L21,L21)&gt;1,"",IF(L21&lt;&gt;"",$A$4,""))</f>
        <v/>
      </c>
      <c r="M81">
        <f>IF(COUNTIF($J21:M21,M21)&gt;1,"",IF(M21&lt;&gt;"",$A$5,""))</f>
        <v/>
      </c>
      <c r="N81">
        <f>IF(COUNTIF($J21:N21,N21)&gt;1,"",IF(N21&lt;&gt;"",$A$6,""))</f>
        <v/>
      </c>
      <c r="O81">
        <f>IF(COUNTIF($J21:O21,O21)&gt;1,"",IF(O21&lt;&gt;"",$A$7,""))</f>
        <v/>
      </c>
      <c r="P81">
        <f>IF(COUNTIF($J21:P21,P21)&gt;1,"",IF(P21&lt;&gt;"",$A$8,""))</f>
        <v/>
      </c>
      <c r="Q81">
        <f>IF(COUNTIF($J21:Q21,Q21)&gt;1,"",IF(Q21&lt;&gt;"",$A$9,""))</f>
        <v/>
      </c>
      <c r="R81">
        <f>IF(COUNTIF($J21:R21,R21)&gt;1,"",IF(R21&lt;&gt;"",$A$10,""))</f>
        <v/>
      </c>
      <c r="S81" s="39">
        <f>IF(COUNTIF($J21:S21,S21)&gt;1,"",IF(S21&lt;&gt;"",$A$11,""))</f>
        <v/>
      </c>
    </row>
    <row r="82">
      <c r="I82" t="n">
        <v>21</v>
      </c>
      <c r="J82">
        <f>IF(J22&lt;&gt;"",$A$2,"")</f>
        <v/>
      </c>
      <c r="K82">
        <f>IF(COUNTIF($J22:K22,K22)&gt;1,"",IF(K22&lt;&gt;"",$A$3,""))</f>
        <v/>
      </c>
      <c r="L82">
        <f>IF(COUNTIF($J22:L22,L22)&gt;1,"",IF(L22&lt;&gt;"",$A$4,""))</f>
        <v/>
      </c>
      <c r="M82">
        <f>IF(COUNTIF($J22:M22,M22)&gt;1,"",IF(M22&lt;&gt;"",$A$5,""))</f>
        <v/>
      </c>
      <c r="N82">
        <f>IF(COUNTIF($J22:N22,N22)&gt;1,"",IF(N22&lt;&gt;"",$A$6,""))</f>
        <v/>
      </c>
      <c r="O82">
        <f>IF(COUNTIF($J22:O22,O22)&gt;1,"",IF(O22&lt;&gt;"",$A$7,""))</f>
        <v/>
      </c>
      <c r="P82">
        <f>IF(COUNTIF($J22:P22,P22)&gt;1,"",IF(P22&lt;&gt;"",$A$8,""))</f>
        <v/>
      </c>
      <c r="Q82">
        <f>IF(COUNTIF($J22:Q22,Q22)&gt;1,"",IF(Q22&lt;&gt;"",$A$9,""))</f>
        <v/>
      </c>
      <c r="R82">
        <f>IF(COUNTIF($J22:R22,R22)&gt;1,"",IF(R22&lt;&gt;"",$A$10,""))</f>
        <v/>
      </c>
      <c r="S82" s="39">
        <f>IF(COUNTIF($J22:S22,S22)&gt;1,"",IF(S22&lt;&gt;"",$A$11,""))</f>
        <v/>
      </c>
    </row>
    <row r="83">
      <c r="I83" t="n">
        <v>22</v>
      </c>
      <c r="J83">
        <f>IF(J23&lt;&gt;"",$A$2,"")</f>
        <v/>
      </c>
      <c r="K83">
        <f>IF(COUNTIF($J23:K23,K23)&gt;1,"",IF(K23&lt;&gt;"",$A$3,""))</f>
        <v/>
      </c>
      <c r="L83">
        <f>IF(COUNTIF($J23:L23,L23)&gt;1,"",IF(L23&lt;&gt;"",$A$4,""))</f>
        <v/>
      </c>
      <c r="M83">
        <f>IF(COUNTIF($J23:M23,M23)&gt;1,"",IF(M23&lt;&gt;"",$A$5,""))</f>
        <v/>
      </c>
      <c r="N83">
        <f>IF(COUNTIF($J23:N23,N23)&gt;1,"",IF(N23&lt;&gt;"",$A$6,""))</f>
        <v/>
      </c>
      <c r="O83">
        <f>IF(COUNTIF($J23:O23,O23)&gt;1,"",IF(O23&lt;&gt;"",$A$7,""))</f>
        <v/>
      </c>
      <c r="P83">
        <f>IF(COUNTIF($J23:P23,P23)&gt;1,"",IF(P23&lt;&gt;"",$A$8,""))</f>
        <v/>
      </c>
      <c r="Q83">
        <f>IF(COUNTIF($J23:Q23,Q23)&gt;1,"",IF(Q23&lt;&gt;"",$A$9,""))</f>
        <v/>
      </c>
      <c r="R83">
        <f>IF(COUNTIF($J23:R23,R23)&gt;1,"",IF(R23&lt;&gt;"",$A$10,""))</f>
        <v/>
      </c>
      <c r="S83" s="39">
        <f>IF(COUNTIF($J23:S23,S23)&gt;1,"",IF(S23&lt;&gt;"",$A$11,""))</f>
        <v/>
      </c>
    </row>
    <row r="84">
      <c r="I84" t="n">
        <v>23</v>
      </c>
      <c r="J84">
        <f>IF(J24&lt;&gt;"",$A$2,"")</f>
        <v/>
      </c>
      <c r="K84">
        <f>IF(COUNTIF($J24:K24,K24)&gt;1,"",IF(K24&lt;&gt;"",$A$3,""))</f>
        <v/>
      </c>
      <c r="L84">
        <f>IF(COUNTIF($J24:L24,L24)&gt;1,"",IF(L24&lt;&gt;"",$A$4,""))</f>
        <v/>
      </c>
      <c r="M84">
        <f>IF(COUNTIF($J24:M24,M24)&gt;1,"",IF(M24&lt;&gt;"",$A$5,""))</f>
        <v/>
      </c>
      <c r="N84">
        <f>IF(COUNTIF($J24:N24,N24)&gt;1,"",IF(N24&lt;&gt;"",$A$6,""))</f>
        <v/>
      </c>
      <c r="O84">
        <f>IF(COUNTIF($J24:O24,O24)&gt;1,"",IF(O24&lt;&gt;"",$A$7,""))</f>
        <v/>
      </c>
      <c r="P84">
        <f>IF(COUNTIF($J24:P24,P24)&gt;1,"",IF(P24&lt;&gt;"",$A$8,""))</f>
        <v/>
      </c>
      <c r="Q84">
        <f>IF(COUNTIF($J24:Q24,Q24)&gt;1,"",IF(Q24&lt;&gt;"",$A$9,""))</f>
        <v/>
      </c>
      <c r="R84">
        <f>IF(COUNTIF($J24:R24,R24)&gt;1,"",IF(R24&lt;&gt;"",$A$10,""))</f>
        <v/>
      </c>
      <c r="S84" s="39">
        <f>IF(COUNTIF($J24:S24,S24)&gt;1,"",IF(S24&lt;&gt;"",$A$11,""))</f>
        <v/>
      </c>
    </row>
    <row r="85">
      <c r="I85" t="n">
        <v>24</v>
      </c>
      <c r="J85">
        <f>IF(J25&lt;&gt;"",$A$2,"")</f>
        <v/>
      </c>
      <c r="K85">
        <f>IF(COUNTIF($J25:K25,K25)&gt;1,"",IF(K25&lt;&gt;"",$A$3,""))</f>
        <v/>
      </c>
      <c r="L85">
        <f>IF(COUNTIF($J25:L25,L25)&gt;1,"",IF(L25&lt;&gt;"",$A$4,""))</f>
        <v/>
      </c>
      <c r="M85">
        <f>IF(COUNTIF($J25:M25,M25)&gt;1,"",IF(M25&lt;&gt;"",$A$5,""))</f>
        <v/>
      </c>
      <c r="N85">
        <f>IF(COUNTIF($J25:N25,N25)&gt;1,"",IF(N25&lt;&gt;"",$A$6,""))</f>
        <v/>
      </c>
      <c r="O85">
        <f>IF(COUNTIF($J25:O25,O25)&gt;1,"",IF(O25&lt;&gt;"",$A$7,""))</f>
        <v/>
      </c>
      <c r="P85">
        <f>IF(COUNTIF($J25:P25,P25)&gt;1,"",IF(P25&lt;&gt;"",$A$8,""))</f>
        <v/>
      </c>
      <c r="Q85">
        <f>IF(COUNTIF($J25:Q25,Q25)&gt;1,"",IF(Q25&lt;&gt;"",$A$9,""))</f>
        <v/>
      </c>
      <c r="R85">
        <f>IF(COUNTIF($J25:R25,R25)&gt;1,"",IF(R25&lt;&gt;"",$A$10,""))</f>
        <v/>
      </c>
      <c r="S85" s="39">
        <f>IF(COUNTIF($J25:S25,S25)&gt;1,"",IF(S25&lt;&gt;"",$A$11,""))</f>
        <v/>
      </c>
    </row>
    <row r="86">
      <c r="I86" t="n">
        <v>25</v>
      </c>
      <c r="J86">
        <f>IF(J26&lt;&gt;"",$A$2,"")</f>
        <v/>
      </c>
      <c r="K86">
        <f>IF(COUNTIF($J26:K26,K26)&gt;1,"",IF(K26&lt;&gt;"",$A$3,""))</f>
        <v/>
      </c>
      <c r="L86">
        <f>IF(COUNTIF($J26:L26,L26)&gt;1,"",IF(L26&lt;&gt;"",$A$4,""))</f>
        <v/>
      </c>
      <c r="M86">
        <f>IF(COUNTIF($J26:M26,M26)&gt;1,"",IF(M26&lt;&gt;"",$A$5,""))</f>
        <v/>
      </c>
      <c r="N86">
        <f>IF(COUNTIF($J26:N26,N26)&gt;1,"",IF(N26&lt;&gt;"",$A$6,""))</f>
        <v/>
      </c>
      <c r="O86">
        <f>IF(COUNTIF($J26:O26,O26)&gt;1,"",IF(O26&lt;&gt;"",$A$7,""))</f>
        <v/>
      </c>
      <c r="P86">
        <f>IF(COUNTIF($J26:P26,P26)&gt;1,"",IF(P26&lt;&gt;"",$A$8,""))</f>
        <v/>
      </c>
      <c r="Q86">
        <f>IF(COUNTIF($J26:Q26,Q26)&gt;1,"",IF(Q26&lt;&gt;"",$A$9,""))</f>
        <v/>
      </c>
      <c r="R86">
        <f>IF(COUNTIF($J26:R26,R26)&gt;1,"",IF(R26&lt;&gt;"",$A$10,""))</f>
        <v/>
      </c>
      <c r="S86" s="39">
        <f>IF(COUNTIF($J26:S26,S26)&gt;1,"",IF(S26&lt;&gt;"",$A$11,""))</f>
        <v/>
      </c>
    </row>
    <row r="87">
      <c r="I87" t="n">
        <v>26</v>
      </c>
      <c r="J87">
        <f>IF(J27&lt;&gt;"",$A$2,"")</f>
        <v/>
      </c>
      <c r="K87">
        <f>IF(COUNTIF($J27:K27,K27)&gt;1,"",IF(K27&lt;&gt;"",$A$3,""))</f>
        <v/>
      </c>
      <c r="L87">
        <f>IF(COUNTIF($J27:L27,L27)&gt;1,"",IF(L27&lt;&gt;"",$A$4,""))</f>
        <v/>
      </c>
      <c r="M87">
        <f>IF(COUNTIF($J27:M27,M27)&gt;1,"",IF(M27&lt;&gt;"",$A$5,""))</f>
        <v/>
      </c>
      <c r="N87">
        <f>IF(COUNTIF($J27:N27,N27)&gt;1,"",IF(N27&lt;&gt;"",$A$6,""))</f>
        <v/>
      </c>
      <c r="O87">
        <f>IF(COUNTIF($J27:O27,O27)&gt;1,"",IF(O27&lt;&gt;"",$A$7,""))</f>
        <v/>
      </c>
      <c r="P87">
        <f>IF(COUNTIF($J27:P27,P27)&gt;1,"",IF(P27&lt;&gt;"",$A$8,""))</f>
        <v/>
      </c>
      <c r="Q87">
        <f>IF(COUNTIF($J27:Q27,Q27)&gt;1,"",IF(Q27&lt;&gt;"",$A$9,""))</f>
        <v/>
      </c>
      <c r="R87">
        <f>IF(COUNTIF($J27:R27,R27)&gt;1,"",IF(R27&lt;&gt;"",$A$10,""))</f>
        <v/>
      </c>
      <c r="S87" s="39">
        <f>IF(COUNTIF($J27:S27,S27)&gt;1,"",IF(S27&lt;&gt;"",$A$11,""))</f>
        <v/>
      </c>
    </row>
    <row r="88">
      <c r="I88" t="n">
        <v>27</v>
      </c>
      <c r="J88">
        <f>IF(J28&lt;&gt;"",$A$2,"")</f>
        <v/>
      </c>
      <c r="K88">
        <f>IF(COUNTIF($J28:K28,K28)&gt;1,"",IF(K28&lt;&gt;"",$A$3,""))</f>
        <v/>
      </c>
      <c r="L88">
        <f>IF(COUNTIF($J28:L28,L28)&gt;1,"",IF(L28&lt;&gt;"",$A$4,""))</f>
        <v/>
      </c>
      <c r="M88">
        <f>IF(COUNTIF($J28:M28,M28)&gt;1,"",IF(M28&lt;&gt;"",$A$5,""))</f>
        <v/>
      </c>
      <c r="N88">
        <f>IF(COUNTIF($J28:N28,N28)&gt;1,"",IF(N28&lt;&gt;"",$A$6,""))</f>
        <v/>
      </c>
      <c r="O88">
        <f>IF(COUNTIF($J28:O28,O28)&gt;1,"",IF(O28&lt;&gt;"",$A$7,""))</f>
        <v/>
      </c>
      <c r="P88">
        <f>IF(COUNTIF($J28:P28,P28)&gt;1,"",IF(P28&lt;&gt;"",$A$8,""))</f>
        <v/>
      </c>
      <c r="Q88">
        <f>IF(COUNTIF($J28:Q28,Q28)&gt;1,"",IF(Q28&lt;&gt;"",$A$9,""))</f>
        <v/>
      </c>
      <c r="R88">
        <f>IF(COUNTIF($J28:R28,R28)&gt;1,"",IF(R28&lt;&gt;"",$A$10,""))</f>
        <v/>
      </c>
      <c r="S88" s="39">
        <f>IF(COUNTIF($J28:S28,S28)&gt;1,"",IF(S28&lt;&gt;"",$A$11,""))</f>
        <v/>
      </c>
    </row>
    <row r="89">
      <c r="I89" t="n">
        <v>28</v>
      </c>
      <c r="J89">
        <f>IF(J29&lt;&gt;"",$A$2,"")</f>
        <v/>
      </c>
      <c r="K89">
        <f>IF(COUNTIF($J29:K29,K29)&gt;1,"",IF(K29&lt;&gt;"",$A$3,""))</f>
        <v/>
      </c>
      <c r="L89">
        <f>IF(COUNTIF($J29:L29,L29)&gt;1,"",IF(L29&lt;&gt;"",$A$4,""))</f>
        <v/>
      </c>
      <c r="M89">
        <f>IF(COUNTIF($J29:M29,M29)&gt;1,"",IF(M29&lt;&gt;"",$A$5,""))</f>
        <v/>
      </c>
      <c r="N89">
        <f>IF(COUNTIF($J29:N29,N29)&gt;1,"",IF(N29&lt;&gt;"",$A$6,""))</f>
        <v/>
      </c>
      <c r="O89">
        <f>IF(COUNTIF($J29:O29,O29)&gt;1,"",IF(O29&lt;&gt;"",$A$7,""))</f>
        <v/>
      </c>
      <c r="P89">
        <f>IF(COUNTIF($J29:P29,P29)&gt;1,"",IF(P29&lt;&gt;"",$A$8,""))</f>
        <v/>
      </c>
      <c r="Q89">
        <f>IF(COUNTIF($J29:Q29,Q29)&gt;1,"",IF(Q29&lt;&gt;"",$A$9,""))</f>
        <v/>
      </c>
      <c r="R89">
        <f>IF(COUNTIF($J29:R29,R29)&gt;1,"",IF(R29&lt;&gt;"",$A$10,""))</f>
        <v/>
      </c>
      <c r="S89" s="39">
        <f>IF(COUNTIF($J29:S29,S29)&gt;1,"",IF(S29&lt;&gt;"",$A$11,""))</f>
        <v/>
      </c>
    </row>
    <row r="90">
      <c r="I90" t="n">
        <v>29</v>
      </c>
      <c r="J90">
        <f>IF(J30&lt;&gt;"",$A$2,"")</f>
        <v/>
      </c>
      <c r="K90">
        <f>IF(COUNTIF($J30:K30,K30)&gt;1,"",IF(K30&lt;&gt;"",$A$3,""))</f>
        <v/>
      </c>
      <c r="L90">
        <f>IF(COUNTIF($J30:L30,L30)&gt;1,"",IF(L30&lt;&gt;"",$A$4,""))</f>
        <v/>
      </c>
      <c r="M90">
        <f>IF(COUNTIF($J30:M30,M30)&gt;1,"",IF(M30&lt;&gt;"",$A$5,""))</f>
        <v/>
      </c>
      <c r="N90">
        <f>IF(COUNTIF($J30:N30,N30)&gt;1,"",IF(N30&lt;&gt;"",$A$6,""))</f>
        <v/>
      </c>
      <c r="O90">
        <f>IF(COUNTIF($J30:O30,O30)&gt;1,"",IF(O30&lt;&gt;"",$A$7,""))</f>
        <v/>
      </c>
      <c r="P90">
        <f>IF(COUNTIF($J30:P30,P30)&gt;1,"",IF(P30&lt;&gt;"",$A$8,""))</f>
        <v/>
      </c>
      <c r="Q90">
        <f>IF(COUNTIF($J30:Q30,Q30)&gt;1,"",IF(Q30&lt;&gt;"",$A$9,""))</f>
        <v/>
      </c>
      <c r="R90">
        <f>IF(COUNTIF($J30:R30,R30)&gt;1,"",IF(R30&lt;&gt;"",$A$10,""))</f>
        <v/>
      </c>
      <c r="S90" s="39">
        <f>IF(COUNTIF($J30:S30,S30)&gt;1,"",IF(S30&lt;&gt;"",$A$11,""))</f>
        <v/>
      </c>
    </row>
    <row r="91">
      <c r="I91" t="n">
        <v>30</v>
      </c>
      <c r="J91">
        <f>IF(J31&lt;&gt;"",$A$2,"")</f>
        <v/>
      </c>
      <c r="K91">
        <f>IF(COUNTIF($J31:K31,K31)&gt;1,"",IF(K31&lt;&gt;"",$A$3,""))</f>
        <v/>
      </c>
      <c r="L91">
        <f>IF(COUNTIF($J31:L31,L31)&gt;1,"",IF(L31&lt;&gt;"",$A$4,""))</f>
        <v/>
      </c>
      <c r="M91">
        <f>IF(COUNTIF($J31:M31,M31)&gt;1,"",IF(M31&lt;&gt;"",$A$5,""))</f>
        <v/>
      </c>
      <c r="N91">
        <f>IF(COUNTIF($J31:N31,N31)&gt;1,"",IF(N31&lt;&gt;"",$A$6,""))</f>
        <v/>
      </c>
      <c r="O91">
        <f>IF(COUNTIF($J31:O31,O31)&gt;1,"",IF(O31&lt;&gt;"",$A$7,""))</f>
        <v/>
      </c>
      <c r="P91">
        <f>IF(COUNTIF($J31:P31,P31)&gt;1,"",IF(P31&lt;&gt;"",$A$8,""))</f>
        <v/>
      </c>
      <c r="Q91">
        <f>IF(COUNTIF($J31:Q31,Q31)&gt;1,"",IF(Q31&lt;&gt;"",$A$9,""))</f>
        <v/>
      </c>
      <c r="R91">
        <f>IF(COUNTIF($J31:R31,R31)&gt;1,"",IF(R31&lt;&gt;"",$A$10,""))</f>
        <v/>
      </c>
      <c r="S91" s="39">
        <f>IF(COUNTIF($J31:S31,S31)&gt;1,"",IF(S31&lt;&gt;"",$A$11,""))</f>
        <v/>
      </c>
    </row>
    <row r="92">
      <c r="I92" t="n">
        <v>31</v>
      </c>
      <c r="J92">
        <f>IF(J32&lt;&gt;"",$A$2,"")</f>
        <v/>
      </c>
      <c r="K92">
        <f>IF(COUNTIF($J32:K32,K32)&gt;1,"",IF(K32&lt;&gt;"",$A$3,""))</f>
        <v/>
      </c>
      <c r="L92">
        <f>IF(COUNTIF($J32:L32,L32)&gt;1,"",IF(L32&lt;&gt;"",$A$4,""))</f>
        <v/>
      </c>
      <c r="M92">
        <f>IF(COUNTIF($J32:M32,M32)&gt;1,"",IF(M32&lt;&gt;"",$A$5,""))</f>
        <v/>
      </c>
      <c r="N92">
        <f>IF(COUNTIF($J32:N32,N32)&gt;1,"",IF(N32&lt;&gt;"",$A$6,""))</f>
        <v/>
      </c>
      <c r="O92">
        <f>IF(COUNTIF($J32:O32,O32)&gt;1,"",IF(O32&lt;&gt;"",$A$7,""))</f>
        <v/>
      </c>
      <c r="P92">
        <f>IF(COUNTIF($J32:P32,P32)&gt;1,"",IF(P32&lt;&gt;"",$A$8,""))</f>
        <v/>
      </c>
      <c r="Q92">
        <f>IF(COUNTIF($J32:Q32,Q32)&gt;1,"",IF(Q32&lt;&gt;"",$A$9,""))</f>
        <v/>
      </c>
      <c r="R92">
        <f>IF(COUNTIF($J32:R32,R32)&gt;1,"",IF(R32&lt;&gt;"",$A$10,""))</f>
        <v/>
      </c>
      <c r="S92" s="39">
        <f>IF(COUNTIF($J32:S32,S32)&gt;1,"",IF(S32&lt;&gt;"",$A$11,""))</f>
        <v/>
      </c>
    </row>
    <row r="93">
      <c r="I93" t="n">
        <v>32</v>
      </c>
      <c r="J93">
        <f>IF(J33&lt;&gt;"",$A$2,"")</f>
        <v/>
      </c>
      <c r="K93">
        <f>IF(COUNTIF($J33:K33,K33)&gt;1,"",IF(K33&lt;&gt;"",$A$3,""))</f>
        <v/>
      </c>
      <c r="L93">
        <f>IF(COUNTIF($J33:L33,L33)&gt;1,"",IF(L33&lt;&gt;"",$A$4,""))</f>
        <v/>
      </c>
      <c r="M93">
        <f>IF(COUNTIF($J33:M33,M33)&gt;1,"",IF(M33&lt;&gt;"",$A$5,""))</f>
        <v/>
      </c>
      <c r="N93">
        <f>IF(COUNTIF($J33:N33,N33)&gt;1,"",IF(N33&lt;&gt;"",$A$6,""))</f>
        <v/>
      </c>
      <c r="O93">
        <f>IF(COUNTIF($J33:O33,O33)&gt;1,"",IF(O33&lt;&gt;"",$A$7,""))</f>
        <v/>
      </c>
      <c r="P93">
        <f>IF(COUNTIF($J33:P33,P33)&gt;1,"",IF(P33&lt;&gt;"",$A$8,""))</f>
        <v/>
      </c>
      <c r="Q93">
        <f>IF(COUNTIF($J33:Q33,Q33)&gt;1,"",IF(Q33&lt;&gt;"",$A$9,""))</f>
        <v/>
      </c>
      <c r="R93">
        <f>IF(COUNTIF($J33:R33,R33)&gt;1,"",IF(R33&lt;&gt;"",$A$10,""))</f>
        <v/>
      </c>
      <c r="S93" s="39">
        <f>IF(COUNTIF($J33:S33,S33)&gt;1,"",IF(S33&lt;&gt;"",$A$11,""))</f>
        <v/>
      </c>
    </row>
    <row r="94">
      <c r="I94" t="n">
        <v>33</v>
      </c>
      <c r="J94">
        <f>IF(J34&lt;&gt;"",$A$2,"")</f>
        <v/>
      </c>
      <c r="K94">
        <f>IF(COUNTIF($J34:K34,K34)&gt;1,"",IF(K34&lt;&gt;"",$A$3,""))</f>
        <v/>
      </c>
      <c r="L94">
        <f>IF(COUNTIF($J34:L34,L34)&gt;1,"",IF(L34&lt;&gt;"",$A$4,""))</f>
        <v/>
      </c>
      <c r="M94">
        <f>IF(COUNTIF($J34:M34,M34)&gt;1,"",IF(M34&lt;&gt;"",$A$5,""))</f>
        <v/>
      </c>
      <c r="N94">
        <f>IF(COUNTIF($J34:N34,N34)&gt;1,"",IF(N34&lt;&gt;"",$A$6,""))</f>
        <v/>
      </c>
      <c r="O94">
        <f>IF(COUNTIF($J34:O34,O34)&gt;1,"",IF(O34&lt;&gt;"",$A$7,""))</f>
        <v/>
      </c>
      <c r="P94">
        <f>IF(COUNTIF($J34:P34,P34)&gt;1,"",IF(P34&lt;&gt;"",$A$8,""))</f>
        <v/>
      </c>
      <c r="Q94">
        <f>IF(COUNTIF($J34:Q34,Q34)&gt;1,"",IF(Q34&lt;&gt;"",$A$9,""))</f>
        <v/>
      </c>
      <c r="R94">
        <f>IF(COUNTIF($J34:R34,R34)&gt;1,"",IF(R34&lt;&gt;"",$A$10,""))</f>
        <v/>
      </c>
      <c r="S94" s="39">
        <f>IF(COUNTIF($J34:S34,S34)&gt;1,"",IF(S34&lt;&gt;"",$A$11,""))</f>
        <v/>
      </c>
    </row>
    <row r="95">
      <c r="I95" t="n">
        <v>34</v>
      </c>
      <c r="J95">
        <f>IF(J35&lt;&gt;"",$A$2,"")</f>
        <v/>
      </c>
      <c r="K95">
        <f>IF(COUNTIF($J35:K35,K35)&gt;1,"",IF(K35&lt;&gt;"",$A$3,""))</f>
        <v/>
      </c>
      <c r="L95">
        <f>IF(COUNTIF($J35:L35,L35)&gt;1,"",IF(L35&lt;&gt;"",$A$4,""))</f>
        <v/>
      </c>
      <c r="M95">
        <f>IF(COUNTIF($J35:M35,M35)&gt;1,"",IF(M35&lt;&gt;"",$A$5,""))</f>
        <v/>
      </c>
      <c r="N95">
        <f>IF(COUNTIF($J35:N35,N35)&gt;1,"",IF(N35&lt;&gt;"",$A$6,""))</f>
        <v/>
      </c>
      <c r="O95">
        <f>IF(COUNTIF($J35:O35,O35)&gt;1,"",IF(O35&lt;&gt;"",$A$7,""))</f>
        <v/>
      </c>
      <c r="P95">
        <f>IF(COUNTIF($J35:P35,P35)&gt;1,"",IF(P35&lt;&gt;"",$A$8,""))</f>
        <v/>
      </c>
      <c r="Q95">
        <f>IF(COUNTIF($J35:Q35,Q35)&gt;1,"",IF(Q35&lt;&gt;"",$A$9,""))</f>
        <v/>
      </c>
      <c r="R95">
        <f>IF(COUNTIF($J35:R35,R35)&gt;1,"",IF(R35&lt;&gt;"",$A$10,""))</f>
        <v/>
      </c>
      <c r="S95" s="39">
        <f>IF(COUNTIF($J35:S35,S35)&gt;1,"",IF(S35&lt;&gt;"",$A$11,""))</f>
        <v/>
      </c>
    </row>
    <row r="96">
      <c r="I96" t="n">
        <v>35</v>
      </c>
      <c r="J96">
        <f>IF(J36&lt;&gt;"",$A$2,"")</f>
        <v/>
      </c>
      <c r="K96">
        <f>IF(COUNTIF($J36:K36,K36)&gt;1,"",IF(K36&lt;&gt;"",$A$3,""))</f>
        <v/>
      </c>
      <c r="L96">
        <f>IF(COUNTIF($J36:L36,L36)&gt;1,"",IF(L36&lt;&gt;"",$A$4,""))</f>
        <v/>
      </c>
      <c r="M96">
        <f>IF(COUNTIF($J36:M36,M36)&gt;1,"",IF(M36&lt;&gt;"",$A$5,""))</f>
        <v/>
      </c>
      <c r="N96">
        <f>IF(COUNTIF($J36:N36,N36)&gt;1,"",IF(N36&lt;&gt;"",$A$6,""))</f>
        <v/>
      </c>
      <c r="O96">
        <f>IF(COUNTIF($J36:O36,O36)&gt;1,"",IF(O36&lt;&gt;"",$A$7,""))</f>
        <v/>
      </c>
      <c r="P96">
        <f>IF(COUNTIF($J36:P36,P36)&gt;1,"",IF(P36&lt;&gt;"",$A$8,""))</f>
        <v/>
      </c>
      <c r="Q96">
        <f>IF(COUNTIF($J36:Q36,Q36)&gt;1,"",IF(Q36&lt;&gt;"",$A$9,""))</f>
        <v/>
      </c>
      <c r="R96">
        <f>IF(COUNTIF($J36:R36,R36)&gt;1,"",IF(R36&lt;&gt;"",$A$10,""))</f>
        <v/>
      </c>
      <c r="S96" s="39">
        <f>IF(COUNTIF($J36:S36,S36)&gt;1,"",IF(S36&lt;&gt;"",$A$11,""))</f>
        <v/>
      </c>
    </row>
    <row r="97">
      <c r="I97" t="n">
        <v>36</v>
      </c>
      <c r="J97">
        <f>IF(J37&lt;&gt;"",$A$2,"")</f>
        <v/>
      </c>
      <c r="K97">
        <f>IF(COUNTIF($J37:K37,K37)&gt;1,"",IF(K37&lt;&gt;"",$A$3,""))</f>
        <v/>
      </c>
      <c r="L97">
        <f>IF(COUNTIF($J37:L37,L37)&gt;1,"",IF(L37&lt;&gt;"",$A$4,""))</f>
        <v/>
      </c>
      <c r="M97">
        <f>IF(COUNTIF($J37:M37,M37)&gt;1,"",IF(M37&lt;&gt;"",$A$5,""))</f>
        <v/>
      </c>
      <c r="N97">
        <f>IF(COUNTIF($J37:N37,N37)&gt;1,"",IF(N37&lt;&gt;"",$A$6,""))</f>
        <v/>
      </c>
      <c r="O97">
        <f>IF(COUNTIF($J37:O37,O37)&gt;1,"",IF(O37&lt;&gt;"",$A$7,""))</f>
        <v/>
      </c>
      <c r="P97">
        <f>IF(COUNTIF($J37:P37,P37)&gt;1,"",IF(P37&lt;&gt;"",$A$8,""))</f>
        <v/>
      </c>
      <c r="Q97">
        <f>IF(COUNTIF($J37:Q37,Q37)&gt;1,"",IF(Q37&lt;&gt;"",$A$9,""))</f>
        <v/>
      </c>
      <c r="R97">
        <f>IF(COUNTIF($J37:R37,R37)&gt;1,"",IF(R37&lt;&gt;"",$A$10,""))</f>
        <v/>
      </c>
      <c r="S97" s="39">
        <f>IF(COUNTIF($J37:S37,S37)&gt;1,"",IF(S37&lt;&gt;"",$A$11,""))</f>
        <v/>
      </c>
    </row>
    <row r="98">
      <c r="I98" t="n">
        <v>37</v>
      </c>
      <c r="J98">
        <f>IF(J38&lt;&gt;"",$A$2,"")</f>
        <v/>
      </c>
      <c r="K98">
        <f>IF(COUNTIF($J38:K38,K38)&gt;1,"",IF(K38&lt;&gt;"",$A$3,""))</f>
        <v/>
      </c>
      <c r="L98">
        <f>IF(COUNTIF($J38:L38,L38)&gt;1,"",IF(L38&lt;&gt;"",$A$4,""))</f>
        <v/>
      </c>
      <c r="M98">
        <f>IF(COUNTIF($J38:M38,M38)&gt;1,"",IF(M38&lt;&gt;"",$A$5,""))</f>
        <v/>
      </c>
      <c r="N98">
        <f>IF(COUNTIF($J38:N38,N38)&gt;1,"",IF(N38&lt;&gt;"",$A$6,""))</f>
        <v/>
      </c>
      <c r="O98">
        <f>IF(COUNTIF($J38:O38,O38)&gt;1,"",IF(O38&lt;&gt;"",$A$7,""))</f>
        <v/>
      </c>
      <c r="P98">
        <f>IF(COUNTIF($J38:P38,P38)&gt;1,"",IF(P38&lt;&gt;"",$A$8,""))</f>
        <v/>
      </c>
      <c r="Q98">
        <f>IF(COUNTIF($J38:Q38,Q38)&gt;1,"",IF(Q38&lt;&gt;"",$A$9,""))</f>
        <v/>
      </c>
      <c r="R98">
        <f>IF(COUNTIF($J38:R38,R38)&gt;1,"",IF(R38&lt;&gt;"",$A$10,""))</f>
        <v/>
      </c>
      <c r="S98" s="39">
        <f>IF(COUNTIF($J38:S38,S38)&gt;1,"",IF(S38&lt;&gt;"",$A$11,""))</f>
        <v/>
      </c>
    </row>
    <row r="99">
      <c r="I99" t="n">
        <v>38</v>
      </c>
      <c r="J99">
        <f>IF(J39&lt;&gt;"",$A$2,"")</f>
        <v/>
      </c>
      <c r="K99">
        <f>IF(COUNTIF($J39:K39,K39)&gt;1,"",IF(K39&lt;&gt;"",$A$3,""))</f>
        <v/>
      </c>
      <c r="L99">
        <f>IF(COUNTIF($J39:L39,L39)&gt;1,"",IF(L39&lt;&gt;"",$A$4,""))</f>
        <v/>
      </c>
      <c r="M99">
        <f>IF(COUNTIF($J39:M39,M39)&gt;1,"",IF(M39&lt;&gt;"",$A$5,""))</f>
        <v/>
      </c>
      <c r="N99">
        <f>IF(COUNTIF($J39:N39,N39)&gt;1,"",IF(N39&lt;&gt;"",$A$6,""))</f>
        <v/>
      </c>
      <c r="O99">
        <f>IF(COUNTIF($J39:O39,O39)&gt;1,"",IF(O39&lt;&gt;"",$A$7,""))</f>
        <v/>
      </c>
      <c r="P99">
        <f>IF(COUNTIF($J39:P39,P39)&gt;1,"",IF(P39&lt;&gt;"",$A$8,""))</f>
        <v/>
      </c>
      <c r="Q99">
        <f>IF(COUNTIF($J39:Q39,Q39)&gt;1,"",IF(Q39&lt;&gt;"",$A$9,""))</f>
        <v/>
      </c>
      <c r="R99">
        <f>IF(COUNTIF($J39:R39,R39)&gt;1,"",IF(R39&lt;&gt;"",$A$10,""))</f>
        <v/>
      </c>
      <c r="S99" s="39">
        <f>IF(COUNTIF($J39:S39,S39)&gt;1,"",IF(S39&lt;&gt;"",$A$11,""))</f>
        <v/>
      </c>
    </row>
    <row r="100">
      <c r="I100" t="n">
        <v>39</v>
      </c>
      <c r="J100">
        <f>IF(J40&lt;&gt;"",$A$2,"")</f>
        <v/>
      </c>
      <c r="K100">
        <f>IF(COUNTIF($J40:K40,K40)&gt;1,"",IF(K40&lt;&gt;"",$A$3,""))</f>
        <v/>
      </c>
      <c r="L100">
        <f>IF(COUNTIF($J40:L40,L40)&gt;1,"",IF(L40&lt;&gt;"",$A$4,""))</f>
        <v/>
      </c>
      <c r="M100">
        <f>IF(COUNTIF($J40:M40,M40)&gt;1,"",IF(M40&lt;&gt;"",$A$5,""))</f>
        <v/>
      </c>
      <c r="N100">
        <f>IF(COUNTIF($J40:N40,N40)&gt;1,"",IF(N40&lt;&gt;"",$A$6,""))</f>
        <v/>
      </c>
      <c r="O100">
        <f>IF(COUNTIF($J40:O40,O40)&gt;1,"",IF(O40&lt;&gt;"",$A$7,""))</f>
        <v/>
      </c>
      <c r="P100">
        <f>IF(COUNTIF($J40:P40,P40)&gt;1,"",IF(P40&lt;&gt;"",$A$8,""))</f>
        <v/>
      </c>
      <c r="Q100">
        <f>IF(COUNTIF($J40:Q40,Q40)&gt;1,"",IF(Q40&lt;&gt;"",$A$9,""))</f>
        <v/>
      </c>
      <c r="R100">
        <f>IF(COUNTIF($J40:R40,R40)&gt;1,"",IF(R40&lt;&gt;"",$A$10,""))</f>
        <v/>
      </c>
      <c r="S100" s="39">
        <f>IF(COUNTIF($J40:S40,S40)&gt;1,"",IF(S40&lt;&gt;"",$A$11,""))</f>
        <v/>
      </c>
    </row>
    <row r="101">
      <c r="I101" t="n">
        <v>40</v>
      </c>
      <c r="J101">
        <f>IF(J41&lt;&gt;"",$A$2,"")</f>
        <v/>
      </c>
      <c r="K101">
        <f>IF(COUNTIF($J41:K41,K41)&gt;1,"",IF(K41&lt;&gt;"",$A$3,""))</f>
        <v/>
      </c>
      <c r="L101">
        <f>IF(COUNTIF($J41:L41,L41)&gt;1,"",IF(L41&lt;&gt;"",$A$4,""))</f>
        <v/>
      </c>
      <c r="M101">
        <f>IF(COUNTIF($J41:M41,M41)&gt;1,"",IF(M41&lt;&gt;"",$A$5,""))</f>
        <v/>
      </c>
      <c r="N101">
        <f>IF(COUNTIF($J41:N41,N41)&gt;1,"",IF(N41&lt;&gt;"",$A$6,""))</f>
        <v/>
      </c>
      <c r="O101">
        <f>IF(COUNTIF($J41:O41,O41)&gt;1,"",IF(O41&lt;&gt;"",$A$7,""))</f>
        <v/>
      </c>
      <c r="P101">
        <f>IF(COUNTIF($J41:P41,P41)&gt;1,"",IF(P41&lt;&gt;"",$A$8,""))</f>
        <v/>
      </c>
      <c r="Q101">
        <f>IF(COUNTIF($J41:Q41,Q41)&gt;1,"",IF(Q41&lt;&gt;"",$A$9,""))</f>
        <v/>
      </c>
      <c r="R101">
        <f>IF(COUNTIF($J41:R41,R41)&gt;1,"",IF(R41&lt;&gt;"",$A$10,""))</f>
        <v/>
      </c>
      <c r="S101" s="39">
        <f>IF(COUNTIF($J41:S41,S41)&gt;1,"",IF(S41&lt;&gt;"",$A$11,""))</f>
        <v/>
      </c>
    </row>
    <row r="102">
      <c r="I102" t="n">
        <v>41</v>
      </c>
      <c r="J102">
        <f>IF(J42&lt;&gt;"",$A$2,"")</f>
        <v/>
      </c>
      <c r="K102">
        <f>IF(COUNTIF($J42:K42,K42)&gt;1,"",IF(K42&lt;&gt;"",$A$3,""))</f>
        <v/>
      </c>
      <c r="L102">
        <f>IF(COUNTIF($J42:L42,L42)&gt;1,"",IF(L42&lt;&gt;"",$A$4,""))</f>
        <v/>
      </c>
      <c r="M102">
        <f>IF(COUNTIF($J42:M42,M42)&gt;1,"",IF(M42&lt;&gt;"",$A$5,""))</f>
        <v/>
      </c>
      <c r="N102">
        <f>IF(COUNTIF($J42:N42,N42)&gt;1,"",IF(N42&lt;&gt;"",$A$6,""))</f>
        <v/>
      </c>
      <c r="O102">
        <f>IF(COUNTIF($J42:O42,O42)&gt;1,"",IF(O42&lt;&gt;"",$A$7,""))</f>
        <v/>
      </c>
      <c r="P102">
        <f>IF(COUNTIF($J42:P42,P42)&gt;1,"",IF(P42&lt;&gt;"",$A$8,""))</f>
        <v/>
      </c>
      <c r="Q102">
        <f>IF(COUNTIF($J42:Q42,Q42)&gt;1,"",IF(Q42&lt;&gt;"",$A$9,""))</f>
        <v/>
      </c>
      <c r="R102">
        <f>IF(COUNTIF($J42:R42,R42)&gt;1,"",IF(R42&lt;&gt;"",$A$10,""))</f>
        <v/>
      </c>
      <c r="S102" s="39">
        <f>IF(COUNTIF($J42:S42,S42)&gt;1,"",IF(S42&lt;&gt;"",$A$11,""))</f>
        <v/>
      </c>
    </row>
    <row r="103">
      <c r="I103" t="n">
        <v>42</v>
      </c>
      <c r="J103">
        <f>IF(J43&lt;&gt;"",$A$2,"")</f>
        <v/>
      </c>
      <c r="K103">
        <f>IF(COUNTIF($J43:K43,K43)&gt;1,"",IF(K43&lt;&gt;"",$A$3,""))</f>
        <v/>
      </c>
      <c r="L103">
        <f>IF(COUNTIF($J43:L43,L43)&gt;1,"",IF(L43&lt;&gt;"",$A$4,""))</f>
        <v/>
      </c>
      <c r="M103">
        <f>IF(COUNTIF($J43:M43,M43)&gt;1,"",IF(M43&lt;&gt;"",$A$5,""))</f>
        <v/>
      </c>
      <c r="N103">
        <f>IF(COUNTIF($J43:N43,N43)&gt;1,"",IF(N43&lt;&gt;"",$A$6,""))</f>
        <v/>
      </c>
      <c r="O103">
        <f>IF(COUNTIF($J43:O43,O43)&gt;1,"",IF(O43&lt;&gt;"",$A$7,""))</f>
        <v/>
      </c>
      <c r="P103">
        <f>IF(COUNTIF($J43:P43,P43)&gt;1,"",IF(P43&lt;&gt;"",$A$8,""))</f>
        <v/>
      </c>
      <c r="Q103">
        <f>IF(COUNTIF($J43:Q43,Q43)&gt;1,"",IF(Q43&lt;&gt;"",$A$9,""))</f>
        <v/>
      </c>
      <c r="R103">
        <f>IF(COUNTIF($J43:R43,R43)&gt;1,"",IF(R43&lt;&gt;"",$A$10,""))</f>
        <v/>
      </c>
      <c r="S103" s="39">
        <f>IF(COUNTIF($J43:S43,S43)&gt;1,"",IF(S43&lt;&gt;"",$A$11,""))</f>
        <v/>
      </c>
    </row>
    <row r="104">
      <c r="I104" t="n">
        <v>43</v>
      </c>
      <c r="J104">
        <f>IF(J44&lt;&gt;"",$A$2,"")</f>
        <v/>
      </c>
      <c r="K104">
        <f>IF(COUNTIF($J44:K44,K44)&gt;1,"",IF(K44&lt;&gt;"",$A$3,""))</f>
        <v/>
      </c>
      <c r="L104">
        <f>IF(COUNTIF($J44:L44,L44)&gt;1,"",IF(L44&lt;&gt;"",$A$4,""))</f>
        <v/>
      </c>
      <c r="M104">
        <f>IF(COUNTIF($J44:M44,M44)&gt;1,"",IF(M44&lt;&gt;"",$A$5,""))</f>
        <v/>
      </c>
      <c r="N104">
        <f>IF(COUNTIF($J44:N44,N44)&gt;1,"",IF(N44&lt;&gt;"",$A$6,""))</f>
        <v/>
      </c>
      <c r="O104">
        <f>IF(COUNTIF($J44:O44,O44)&gt;1,"",IF(O44&lt;&gt;"",$A$7,""))</f>
        <v/>
      </c>
      <c r="P104">
        <f>IF(COUNTIF($J44:P44,P44)&gt;1,"",IF(P44&lt;&gt;"",$A$8,""))</f>
        <v/>
      </c>
      <c r="Q104">
        <f>IF(COUNTIF($J44:Q44,Q44)&gt;1,"",IF(Q44&lt;&gt;"",$A$9,""))</f>
        <v/>
      </c>
      <c r="R104">
        <f>IF(COUNTIF($J44:R44,R44)&gt;1,"",IF(R44&lt;&gt;"",$A$10,""))</f>
        <v/>
      </c>
      <c r="S104" s="39">
        <f>IF(COUNTIF($J44:S44,S44)&gt;1,"",IF(S44&lt;&gt;"",$A$11,""))</f>
        <v/>
      </c>
    </row>
    <row r="105">
      <c r="I105" t="n">
        <v>44</v>
      </c>
      <c r="J105">
        <f>IF(J45&lt;&gt;"",$A$2,"")</f>
        <v/>
      </c>
      <c r="K105">
        <f>IF(COUNTIF($J45:K45,K45)&gt;1,"",IF(K45&lt;&gt;"",$A$3,""))</f>
        <v/>
      </c>
      <c r="L105">
        <f>IF(COUNTIF($J45:L45,L45)&gt;1,"",IF(L45&lt;&gt;"",$A$4,""))</f>
        <v/>
      </c>
      <c r="M105">
        <f>IF(COUNTIF($J45:M45,M45)&gt;1,"",IF(M45&lt;&gt;"",$A$5,""))</f>
        <v/>
      </c>
      <c r="N105">
        <f>IF(COUNTIF($J45:N45,N45)&gt;1,"",IF(N45&lt;&gt;"",$A$6,""))</f>
        <v/>
      </c>
      <c r="O105">
        <f>IF(COUNTIF($J45:O45,O45)&gt;1,"",IF(O45&lt;&gt;"",$A$7,""))</f>
        <v/>
      </c>
      <c r="P105">
        <f>IF(COUNTIF($J45:P45,P45)&gt;1,"",IF(P45&lt;&gt;"",$A$8,""))</f>
        <v/>
      </c>
      <c r="Q105">
        <f>IF(COUNTIF($J45:Q45,Q45)&gt;1,"",IF(Q45&lt;&gt;"",$A$9,""))</f>
        <v/>
      </c>
      <c r="R105">
        <f>IF(COUNTIF($J45:R45,R45)&gt;1,"",IF(R45&lt;&gt;"",$A$10,""))</f>
        <v/>
      </c>
      <c r="S105" s="39">
        <f>IF(COUNTIF($J45:S45,S45)&gt;1,"",IF(S45&lt;&gt;"",$A$11,""))</f>
        <v/>
      </c>
    </row>
    <row r="106">
      <c r="I106" t="n">
        <v>45</v>
      </c>
      <c r="J106">
        <f>IF(J46&lt;&gt;"",$A$2,"")</f>
        <v/>
      </c>
      <c r="K106">
        <f>IF(COUNTIF($J46:K46,K46)&gt;1,"",IF(K46&lt;&gt;"",$A$3,""))</f>
        <v/>
      </c>
      <c r="L106">
        <f>IF(COUNTIF($J46:L46,L46)&gt;1,"",IF(L46&lt;&gt;"",$A$4,""))</f>
        <v/>
      </c>
      <c r="M106">
        <f>IF(COUNTIF($J46:M46,M46)&gt;1,"",IF(M46&lt;&gt;"",$A$5,""))</f>
        <v/>
      </c>
      <c r="N106">
        <f>IF(COUNTIF($J46:N46,N46)&gt;1,"",IF(N46&lt;&gt;"",$A$6,""))</f>
        <v/>
      </c>
      <c r="O106">
        <f>IF(COUNTIF($J46:O46,O46)&gt;1,"",IF(O46&lt;&gt;"",$A$7,""))</f>
        <v/>
      </c>
      <c r="P106">
        <f>IF(COUNTIF($J46:P46,P46)&gt;1,"",IF(P46&lt;&gt;"",$A$8,""))</f>
        <v/>
      </c>
      <c r="Q106">
        <f>IF(COUNTIF($J46:Q46,Q46)&gt;1,"",IF(Q46&lt;&gt;"",$A$9,""))</f>
        <v/>
      </c>
      <c r="R106">
        <f>IF(COUNTIF($J46:R46,R46)&gt;1,"",IF(R46&lt;&gt;"",$A$10,""))</f>
        <v/>
      </c>
      <c r="S106" s="39">
        <f>IF(COUNTIF($J46:S46,S46)&gt;1,"",IF(S46&lt;&gt;"",$A$11,""))</f>
        <v/>
      </c>
    </row>
    <row r="107">
      <c r="I107" t="n">
        <v>46</v>
      </c>
      <c r="J107">
        <f>IF(J47&lt;&gt;"",$A$2,"")</f>
        <v/>
      </c>
      <c r="K107">
        <f>IF(COUNTIF($J47:K47,K47)&gt;1,"",IF(K47&lt;&gt;"",$A$3,""))</f>
        <v/>
      </c>
      <c r="L107">
        <f>IF(COUNTIF($J47:L47,L47)&gt;1,"",IF(L47&lt;&gt;"",$A$4,""))</f>
        <v/>
      </c>
      <c r="M107">
        <f>IF(COUNTIF($J47:M47,M47)&gt;1,"",IF(M47&lt;&gt;"",$A$5,""))</f>
        <v/>
      </c>
      <c r="N107">
        <f>IF(COUNTIF($J47:N47,N47)&gt;1,"",IF(N47&lt;&gt;"",$A$6,""))</f>
        <v/>
      </c>
      <c r="O107">
        <f>IF(COUNTIF($J47:O47,O47)&gt;1,"",IF(O47&lt;&gt;"",$A$7,""))</f>
        <v/>
      </c>
      <c r="P107">
        <f>IF(COUNTIF($J47:P47,P47)&gt;1,"",IF(P47&lt;&gt;"",$A$8,""))</f>
        <v/>
      </c>
      <c r="Q107">
        <f>IF(COUNTIF($J47:Q47,Q47)&gt;1,"",IF(Q47&lt;&gt;"",$A$9,""))</f>
        <v/>
      </c>
      <c r="R107">
        <f>IF(COUNTIF($J47:R47,R47)&gt;1,"",IF(R47&lt;&gt;"",$A$10,""))</f>
        <v/>
      </c>
      <c r="S107" s="39">
        <f>IF(COUNTIF($J47:S47,S47)&gt;1,"",IF(S47&lt;&gt;"",$A$11,""))</f>
        <v/>
      </c>
    </row>
    <row r="108">
      <c r="I108" t="n">
        <v>47</v>
      </c>
      <c r="J108">
        <f>IF(J48&lt;&gt;"",$A$2,"")</f>
        <v/>
      </c>
      <c r="K108">
        <f>IF(COUNTIF($J48:K48,K48)&gt;1,"",IF(K48&lt;&gt;"",$A$3,""))</f>
        <v/>
      </c>
      <c r="L108">
        <f>IF(COUNTIF($J48:L48,L48)&gt;1,"",IF(L48&lt;&gt;"",$A$4,""))</f>
        <v/>
      </c>
      <c r="M108">
        <f>IF(COUNTIF($J48:M48,M48)&gt;1,"",IF(M48&lt;&gt;"",$A$5,""))</f>
        <v/>
      </c>
      <c r="N108">
        <f>IF(COUNTIF($J48:N48,N48)&gt;1,"",IF(N48&lt;&gt;"",$A$6,""))</f>
        <v/>
      </c>
      <c r="O108">
        <f>IF(COUNTIF($J48:O48,O48)&gt;1,"",IF(O48&lt;&gt;"",$A$7,""))</f>
        <v/>
      </c>
      <c r="P108">
        <f>IF(COUNTIF($J48:P48,P48)&gt;1,"",IF(P48&lt;&gt;"",$A$8,""))</f>
        <v/>
      </c>
      <c r="Q108">
        <f>IF(COUNTIF($J48:Q48,Q48)&gt;1,"",IF(Q48&lt;&gt;"",$A$9,""))</f>
        <v/>
      </c>
      <c r="R108">
        <f>IF(COUNTIF($J48:R48,R48)&gt;1,"",IF(R48&lt;&gt;"",$A$10,""))</f>
        <v/>
      </c>
      <c r="S108" s="39">
        <f>IF(COUNTIF($J48:S48,S48)&gt;1,"",IF(S48&lt;&gt;"",$A$11,""))</f>
        <v/>
      </c>
    </row>
    <row r="109">
      <c r="I109" t="n">
        <v>48</v>
      </c>
      <c r="J109">
        <f>IF(J49&lt;&gt;"",$A$2,"")</f>
        <v/>
      </c>
      <c r="K109">
        <f>IF(COUNTIF($J49:K49,K49)&gt;1,"",IF(K49&lt;&gt;"",$A$3,""))</f>
        <v/>
      </c>
      <c r="L109">
        <f>IF(COUNTIF($J49:L49,L49)&gt;1,"",IF(L49&lt;&gt;"",$A$4,""))</f>
        <v/>
      </c>
      <c r="M109">
        <f>IF(COUNTIF($J49:M49,M49)&gt;1,"",IF(M49&lt;&gt;"",$A$5,""))</f>
        <v/>
      </c>
      <c r="N109">
        <f>IF(COUNTIF($J49:N49,N49)&gt;1,"",IF(N49&lt;&gt;"",$A$6,""))</f>
        <v/>
      </c>
      <c r="O109">
        <f>IF(COUNTIF($J49:O49,O49)&gt;1,"",IF(O49&lt;&gt;"",$A$7,""))</f>
        <v/>
      </c>
      <c r="P109">
        <f>IF(COUNTIF($J49:P49,P49)&gt;1,"",IF(P49&lt;&gt;"",$A$8,""))</f>
        <v/>
      </c>
      <c r="Q109">
        <f>IF(COUNTIF($J49:Q49,Q49)&gt;1,"",IF(Q49&lt;&gt;"",$A$9,""))</f>
        <v/>
      </c>
      <c r="R109">
        <f>IF(COUNTIF($J49:R49,R49)&gt;1,"",IF(R49&lt;&gt;"",$A$10,""))</f>
        <v/>
      </c>
      <c r="S109" s="39">
        <f>IF(COUNTIF($J49:S49,S49)&gt;1,"",IF(S49&lt;&gt;"",$A$11,""))</f>
        <v/>
      </c>
    </row>
    <row r="110">
      <c r="I110" t="n">
        <v>49</v>
      </c>
      <c r="J110">
        <f>IF(J50&lt;&gt;"",$A$2,"")</f>
        <v/>
      </c>
      <c r="K110">
        <f>IF(COUNTIF($J50:K50,K50)&gt;1,"",IF(K50&lt;&gt;"",$A$3,""))</f>
        <v/>
      </c>
      <c r="L110">
        <f>IF(COUNTIF($J50:L50,L50)&gt;1,"",IF(L50&lt;&gt;"",$A$4,""))</f>
        <v/>
      </c>
      <c r="M110">
        <f>IF(COUNTIF($J50:M50,M50)&gt;1,"",IF(M50&lt;&gt;"",$A$5,""))</f>
        <v/>
      </c>
      <c r="N110">
        <f>IF(COUNTIF($J50:N50,N50)&gt;1,"",IF(N50&lt;&gt;"",$A$6,""))</f>
        <v/>
      </c>
      <c r="O110">
        <f>IF(COUNTIF($J50:O50,O50)&gt;1,"",IF(O50&lt;&gt;"",$A$7,""))</f>
        <v/>
      </c>
      <c r="P110">
        <f>IF(COUNTIF($J50:P50,P50)&gt;1,"",IF(P50&lt;&gt;"",$A$8,""))</f>
        <v/>
      </c>
      <c r="Q110">
        <f>IF(COUNTIF($J50:Q50,Q50)&gt;1,"",IF(Q50&lt;&gt;"",$A$9,""))</f>
        <v/>
      </c>
      <c r="R110">
        <f>IF(COUNTIF($J50:R50,R50)&gt;1,"",IF(R50&lt;&gt;"",$A$10,""))</f>
        <v/>
      </c>
      <c r="S110" s="39">
        <f>IF(COUNTIF($J50:S50,S50)&gt;1,"",IF(S50&lt;&gt;"",$A$11,""))</f>
        <v/>
      </c>
    </row>
    <row r="111">
      <c r="I111" t="n">
        <v>50</v>
      </c>
      <c r="J111">
        <f>IF(J51&lt;&gt;"",$A$2,"")</f>
        <v/>
      </c>
      <c r="K111">
        <f>IF(COUNTIF($J51:K51,K51)&gt;1,"",IF(K51&lt;&gt;"",$A$3,""))</f>
        <v/>
      </c>
      <c r="L111">
        <f>IF(COUNTIF($J51:L51,L51)&gt;1,"",IF(L51&lt;&gt;"",$A$4,""))</f>
        <v/>
      </c>
      <c r="M111">
        <f>IF(COUNTIF($J51:M51,M51)&gt;1,"",IF(M51&lt;&gt;"",$A$5,""))</f>
        <v/>
      </c>
      <c r="N111">
        <f>IF(COUNTIF($J51:N51,N51)&gt;1,"",IF(N51&lt;&gt;"",$A$6,""))</f>
        <v/>
      </c>
      <c r="O111">
        <f>IF(COUNTIF($J51:O51,O51)&gt;1,"",IF(O51&lt;&gt;"",$A$7,""))</f>
        <v/>
      </c>
      <c r="P111">
        <f>IF(COUNTIF($J51:P51,P51)&gt;1,"",IF(P51&lt;&gt;"",$A$8,""))</f>
        <v/>
      </c>
      <c r="Q111">
        <f>IF(COUNTIF($J51:Q51,Q51)&gt;1,"",IF(Q51&lt;&gt;"",$A$9,""))</f>
        <v/>
      </c>
      <c r="R111">
        <f>IF(COUNTIF($J51:R51,R51)&gt;1,"",IF(R51&lt;&gt;"",$A$10,""))</f>
        <v/>
      </c>
      <c r="S111" s="39">
        <f>IF(COUNTIF($J51:S51,S51)&gt;1,"",IF(S51&lt;&gt;"",$A$11,""))</f>
        <v/>
      </c>
    </row>
    <row r="112">
      <c r="I112" t="n">
        <v>51</v>
      </c>
      <c r="J112">
        <f>IF(J52&lt;&gt;"",$A$2,"")</f>
        <v/>
      </c>
      <c r="K112">
        <f>IF(COUNTIF($J52:K52,K52)&gt;1,"",IF(K52&lt;&gt;"",$A$3,""))</f>
        <v/>
      </c>
      <c r="L112">
        <f>IF(COUNTIF($J52:L52,L52)&gt;1,"",IF(L52&lt;&gt;"",$A$4,""))</f>
        <v/>
      </c>
      <c r="M112">
        <f>IF(COUNTIF($J52:M52,M52)&gt;1,"",IF(M52&lt;&gt;"",$A$5,""))</f>
        <v/>
      </c>
      <c r="N112">
        <f>IF(COUNTIF($J52:N52,N52)&gt;1,"",IF(N52&lt;&gt;"",$A$6,""))</f>
        <v/>
      </c>
      <c r="O112">
        <f>IF(COUNTIF($J52:O52,O52)&gt;1,"",IF(O52&lt;&gt;"",$A$7,""))</f>
        <v/>
      </c>
      <c r="P112">
        <f>IF(COUNTIF($J52:P52,P52)&gt;1,"",IF(P52&lt;&gt;"",$A$8,""))</f>
        <v/>
      </c>
      <c r="Q112">
        <f>IF(COUNTIF($J52:Q52,Q52)&gt;1,"",IF(Q52&lt;&gt;"",$A$9,""))</f>
        <v/>
      </c>
      <c r="R112">
        <f>IF(COUNTIF($J52:R52,R52)&gt;1,"",IF(R52&lt;&gt;"",$A$10,""))</f>
        <v/>
      </c>
      <c r="S112" s="39">
        <f>IF(COUNTIF($J52:S52,S52)&gt;1,"",IF(S52&lt;&gt;"",$A$11,""))</f>
        <v/>
      </c>
    </row>
    <row r="113">
      <c r="I113" t="n">
        <v>52</v>
      </c>
      <c r="J113">
        <f>IF(J53&lt;&gt;"",$A$2,"")</f>
        <v/>
      </c>
      <c r="K113">
        <f>IF(COUNTIF($J53:K53,K53)&gt;1,"",IF(K53&lt;&gt;"",$A$3,""))</f>
        <v/>
      </c>
      <c r="L113">
        <f>IF(COUNTIF($J53:L53,L53)&gt;1,"",IF(L53&lt;&gt;"",$A$4,""))</f>
        <v/>
      </c>
      <c r="M113">
        <f>IF(COUNTIF($J53:M53,M53)&gt;1,"",IF(M53&lt;&gt;"",$A$5,""))</f>
        <v/>
      </c>
      <c r="N113">
        <f>IF(COUNTIF($J53:N53,N53)&gt;1,"",IF(N53&lt;&gt;"",$A$6,""))</f>
        <v/>
      </c>
      <c r="O113">
        <f>IF(COUNTIF($J53:O53,O53)&gt;1,"",IF(O53&lt;&gt;"",$A$7,""))</f>
        <v/>
      </c>
      <c r="P113">
        <f>IF(COUNTIF($J53:P53,P53)&gt;1,"",IF(P53&lt;&gt;"",$A$8,""))</f>
        <v/>
      </c>
      <c r="Q113">
        <f>IF(COUNTIF($J53:Q53,Q53)&gt;1,"",IF(Q53&lt;&gt;"",$A$9,""))</f>
        <v/>
      </c>
      <c r="R113">
        <f>IF(COUNTIF($J53:R53,R53)&gt;1,"",IF(R53&lt;&gt;"",$A$10,""))</f>
        <v/>
      </c>
      <c r="S113" s="39">
        <f>IF(COUNTIF($J53:S53,S53)&gt;1,"",IF(S53&lt;&gt;"",$A$11,""))</f>
        <v/>
      </c>
    </row>
    <row r="114">
      <c r="I114" t="n">
        <v>53</v>
      </c>
      <c r="J114">
        <f>IF(J54&lt;&gt;"",$A$2,"")</f>
        <v/>
      </c>
      <c r="K114">
        <f>IF(COUNTIF($J54:K54,K54)&gt;1,"",IF(K54&lt;&gt;"",$A$3,""))</f>
        <v/>
      </c>
      <c r="L114">
        <f>IF(COUNTIF($J54:L54,L54)&gt;1,"",IF(L54&lt;&gt;"",$A$4,""))</f>
        <v/>
      </c>
      <c r="M114">
        <f>IF(COUNTIF($J54:M54,M54)&gt;1,"",IF(M54&lt;&gt;"",$A$5,""))</f>
        <v/>
      </c>
      <c r="N114">
        <f>IF(COUNTIF($J54:N54,N54)&gt;1,"",IF(N54&lt;&gt;"",$A$6,""))</f>
        <v/>
      </c>
      <c r="O114">
        <f>IF(COUNTIF($J54:O54,O54)&gt;1,"",IF(O54&lt;&gt;"",$A$7,""))</f>
        <v/>
      </c>
      <c r="P114">
        <f>IF(COUNTIF($J54:P54,P54)&gt;1,"",IF(P54&lt;&gt;"",$A$8,""))</f>
        <v/>
      </c>
      <c r="Q114">
        <f>IF(COUNTIF($J54:Q54,Q54)&gt;1,"",IF(Q54&lt;&gt;"",$A$9,""))</f>
        <v/>
      </c>
      <c r="R114">
        <f>IF(COUNTIF($J54:R54,R54)&gt;1,"",IF(R54&lt;&gt;"",$A$10,""))</f>
        <v/>
      </c>
      <c r="S114" s="39">
        <f>IF(COUNTIF($J54:S54,S54)&gt;1,"",IF(S54&lt;&gt;"",$A$11,""))</f>
        <v/>
      </c>
    </row>
    <row r="115">
      <c r="I115" t="n">
        <v>54</v>
      </c>
      <c r="J115">
        <f>IF(J55&lt;&gt;"",$A$2,"")</f>
        <v/>
      </c>
      <c r="K115">
        <f>IF(COUNTIF($J55:K55,K55)&gt;1,"",IF(K55&lt;&gt;"",$A$3,""))</f>
        <v/>
      </c>
      <c r="L115">
        <f>IF(COUNTIF($J55:L55,L55)&gt;1,"",IF(L55&lt;&gt;"",$A$4,""))</f>
        <v/>
      </c>
      <c r="M115">
        <f>IF(COUNTIF($J55:M55,M55)&gt;1,"",IF(M55&lt;&gt;"",$A$5,""))</f>
        <v/>
      </c>
      <c r="N115">
        <f>IF(COUNTIF($J55:N55,N55)&gt;1,"",IF(N55&lt;&gt;"",$A$6,""))</f>
        <v/>
      </c>
      <c r="O115">
        <f>IF(COUNTIF($J55:O55,O55)&gt;1,"",IF(O55&lt;&gt;"",$A$7,""))</f>
        <v/>
      </c>
      <c r="P115">
        <f>IF(COUNTIF($J55:P55,P55)&gt;1,"",IF(P55&lt;&gt;"",$A$8,""))</f>
        <v/>
      </c>
      <c r="Q115">
        <f>IF(COUNTIF($J55:Q55,Q55)&gt;1,"",IF(Q55&lt;&gt;"",$A$9,""))</f>
        <v/>
      </c>
      <c r="R115">
        <f>IF(COUNTIF($J55:R55,R55)&gt;1,"",IF(R55&lt;&gt;"",$A$10,""))</f>
        <v/>
      </c>
      <c r="S115" s="39">
        <f>IF(COUNTIF($J55:S55,S55)&gt;1,"",IF(S55&lt;&gt;"",$A$11,""))</f>
        <v/>
      </c>
    </row>
    <row r="116">
      <c r="I116" t="n">
        <v>55</v>
      </c>
      <c r="J116">
        <f>IF(J56&lt;&gt;"",$A$2,"")</f>
        <v/>
      </c>
      <c r="K116">
        <f>IF(COUNTIF($J56:K56,K56)&gt;1,"",IF(K56&lt;&gt;"",$A$3,""))</f>
        <v/>
      </c>
      <c r="L116">
        <f>IF(COUNTIF($J56:L56,L56)&gt;1,"",IF(L56&lt;&gt;"",$A$4,""))</f>
        <v/>
      </c>
      <c r="M116">
        <f>IF(COUNTIF($J56:M56,M56)&gt;1,"",IF(M56&lt;&gt;"",$A$5,""))</f>
        <v/>
      </c>
      <c r="N116">
        <f>IF(COUNTIF($J56:N56,N56)&gt;1,"",IF(N56&lt;&gt;"",$A$6,""))</f>
        <v/>
      </c>
      <c r="O116">
        <f>IF(COUNTIF($J56:O56,O56)&gt;1,"",IF(O56&lt;&gt;"",$A$7,""))</f>
        <v/>
      </c>
      <c r="P116">
        <f>IF(COUNTIF($J56:P56,P56)&gt;1,"",IF(P56&lt;&gt;"",$A$8,""))</f>
        <v/>
      </c>
      <c r="Q116">
        <f>IF(COUNTIF($J56:Q56,Q56)&gt;1,"",IF(Q56&lt;&gt;"",$A$9,""))</f>
        <v/>
      </c>
      <c r="R116">
        <f>IF(COUNTIF($J56:R56,R56)&gt;1,"",IF(R56&lt;&gt;"",$A$10,""))</f>
        <v/>
      </c>
      <c r="S116" s="39">
        <f>IF(COUNTIF($J56:S56,S56)&gt;1,"",IF(S56&lt;&gt;"",$A$11,""))</f>
        <v/>
      </c>
    </row>
    <row r="117">
      <c r="I117" t="n">
        <v>56</v>
      </c>
      <c r="J117">
        <f>IF(J57&lt;&gt;"",$A$2,"")</f>
        <v/>
      </c>
      <c r="K117">
        <f>IF(COUNTIF($J57:K57,K57)&gt;1,"",IF(K57&lt;&gt;"",$A$3,""))</f>
        <v/>
      </c>
      <c r="L117">
        <f>IF(COUNTIF($J57:L57,L57)&gt;1,"",IF(L57&lt;&gt;"",$A$4,""))</f>
        <v/>
      </c>
      <c r="M117">
        <f>IF(COUNTIF($J57:M57,M57)&gt;1,"",IF(M57&lt;&gt;"",$A$5,""))</f>
        <v/>
      </c>
      <c r="N117">
        <f>IF(COUNTIF($J57:N57,N57)&gt;1,"",IF(N57&lt;&gt;"",$A$6,""))</f>
        <v/>
      </c>
      <c r="O117">
        <f>IF(COUNTIF($J57:O57,O57)&gt;1,"",IF(O57&lt;&gt;"",$A$7,""))</f>
        <v/>
      </c>
      <c r="P117">
        <f>IF(COUNTIF($J57:P57,P57)&gt;1,"",IF(P57&lt;&gt;"",$A$8,""))</f>
        <v/>
      </c>
      <c r="Q117">
        <f>IF(COUNTIF($J57:Q57,Q57)&gt;1,"",IF(Q57&lt;&gt;"",$A$9,""))</f>
        <v/>
      </c>
      <c r="R117">
        <f>IF(COUNTIF($J57:R57,R57)&gt;1,"",IF(R57&lt;&gt;"",$A$10,""))</f>
        <v/>
      </c>
      <c r="S117" s="39">
        <f>IF(COUNTIF($J57:S57,S57)&gt;1,"",IF(S57&lt;&gt;"",$A$11,""))</f>
        <v/>
      </c>
    </row>
    <row r="118">
      <c r="I118" t="n">
        <v>57</v>
      </c>
      <c r="J118">
        <f>IF(J58&lt;&gt;"",$A$2,"")</f>
        <v/>
      </c>
      <c r="K118">
        <f>IF(COUNTIF($J58:K58,K58)&gt;1,"",IF(K58&lt;&gt;"",$A$3,""))</f>
        <v/>
      </c>
      <c r="L118">
        <f>IF(COUNTIF($J58:L58,L58)&gt;1,"",IF(L58&lt;&gt;"",$A$4,""))</f>
        <v/>
      </c>
      <c r="M118">
        <f>IF(COUNTIF($J58:M58,M58)&gt;1,"",IF(M58&lt;&gt;"",$A$5,""))</f>
        <v/>
      </c>
      <c r="N118">
        <f>IF(COUNTIF($J58:N58,N58)&gt;1,"",IF(N58&lt;&gt;"",$A$6,""))</f>
        <v/>
      </c>
      <c r="O118">
        <f>IF(COUNTIF($J58:O58,O58)&gt;1,"",IF(O58&lt;&gt;"",$A$7,""))</f>
        <v/>
      </c>
      <c r="P118">
        <f>IF(COUNTIF($J58:P58,P58)&gt;1,"",IF(P58&lt;&gt;"",$A$8,""))</f>
        <v/>
      </c>
      <c r="Q118">
        <f>IF(COUNTIF($J58:Q58,Q58)&gt;1,"",IF(Q58&lt;&gt;"",$A$9,""))</f>
        <v/>
      </c>
      <c r="R118">
        <f>IF(COUNTIF($J58:R58,R58)&gt;1,"",IF(R58&lt;&gt;"",$A$10,""))</f>
        <v/>
      </c>
      <c r="S118" s="39">
        <f>IF(COUNTIF($J58:S58,S58)&gt;1,"",IF(S58&lt;&gt;"",$A$11,""))</f>
        <v/>
      </c>
    </row>
    <row r="119">
      <c r="I119" t="n">
        <v>58</v>
      </c>
      <c r="J119">
        <f>IF(J59&lt;&gt;"",$A$2,"")</f>
        <v/>
      </c>
      <c r="K119">
        <f>IF(COUNTIF($J59:K59,K59)&gt;1,"",IF(K59&lt;&gt;"",$A$3,""))</f>
        <v/>
      </c>
      <c r="L119">
        <f>IF(COUNTIF($J59:L59,L59)&gt;1,"",IF(L59&lt;&gt;"",$A$4,""))</f>
        <v/>
      </c>
      <c r="M119">
        <f>IF(COUNTIF($J59:M59,M59)&gt;1,"",IF(M59&lt;&gt;"",$A$5,""))</f>
        <v/>
      </c>
      <c r="N119">
        <f>IF(COUNTIF($J59:N59,N59)&gt;1,"",IF(N59&lt;&gt;"",$A$6,""))</f>
        <v/>
      </c>
      <c r="O119">
        <f>IF(COUNTIF($J59:O59,O59)&gt;1,"",IF(O59&lt;&gt;"",$A$7,""))</f>
        <v/>
      </c>
      <c r="P119">
        <f>IF(COUNTIF($J59:P59,P59)&gt;1,"",IF(P59&lt;&gt;"",$A$8,""))</f>
        <v/>
      </c>
      <c r="Q119">
        <f>IF(COUNTIF($J59:Q59,Q59)&gt;1,"",IF(Q59&lt;&gt;"",$A$9,""))</f>
        <v/>
      </c>
      <c r="R119">
        <f>IF(COUNTIF($J59:R59,R59)&gt;1,"",IF(R59&lt;&gt;"",$A$10,""))</f>
        <v/>
      </c>
      <c r="S119" s="39">
        <f>IF(COUNTIF($J59:S59,S59)&gt;1,"",IF(S59&lt;&gt;"",$A$11,""))</f>
        <v/>
      </c>
    </row>
    <row r="120">
      <c r="I120" t="n">
        <v>59</v>
      </c>
      <c r="J120">
        <f>IF(J60&lt;&gt;"",$A$2,"")</f>
        <v/>
      </c>
      <c r="K120">
        <f>IF(COUNTIF($J60:K60,K60)&gt;1,"",IF(K60&lt;&gt;"",$A$3,""))</f>
        <v/>
      </c>
      <c r="L120">
        <f>IF(COUNTIF($J60:L60,L60)&gt;1,"",IF(L60&lt;&gt;"",$A$4,""))</f>
        <v/>
      </c>
      <c r="M120">
        <f>IF(COUNTIF($J60:M60,M60)&gt;1,"",IF(M60&lt;&gt;"",$A$5,""))</f>
        <v/>
      </c>
      <c r="N120">
        <f>IF(COUNTIF($J60:N60,N60)&gt;1,"",IF(N60&lt;&gt;"",$A$6,""))</f>
        <v/>
      </c>
      <c r="O120">
        <f>IF(COUNTIF($J60:O60,O60)&gt;1,"",IF(O60&lt;&gt;"",$A$7,""))</f>
        <v/>
      </c>
      <c r="P120">
        <f>IF(COUNTIF($J60:P60,P60)&gt;1,"",IF(P60&lt;&gt;"",$A$8,""))</f>
        <v/>
      </c>
      <c r="Q120">
        <f>IF(COUNTIF($J60:Q60,Q60)&gt;1,"",IF(Q60&lt;&gt;"",$A$9,""))</f>
        <v/>
      </c>
      <c r="R120">
        <f>IF(COUNTIF($J60:R60,R60)&gt;1,"",IF(R60&lt;&gt;"",$A$10,""))</f>
        <v/>
      </c>
      <c r="S120" s="39">
        <f>IF(COUNTIF($J60:S60,S60)&gt;1,"",IF(S60&lt;&gt;"",$A$11,""))</f>
        <v/>
      </c>
    </row>
    <row r="121">
      <c r="I121" t="n">
        <v>60</v>
      </c>
      <c r="J121">
        <f>IF(J61&lt;&gt;"",$A$2,"")</f>
        <v/>
      </c>
      <c r="K121">
        <f>IF(COUNTIF($J61:K61,K61)&gt;1,"",IF(K61&lt;&gt;"",$A$3,""))</f>
        <v/>
      </c>
      <c r="L121">
        <f>IF(COUNTIF($J61:L61,L61)&gt;1,"",IF(L61&lt;&gt;"",$A$4,""))</f>
        <v/>
      </c>
      <c r="M121">
        <f>IF(COUNTIF($J61:M61,M61)&gt;1,"",IF(M61&lt;&gt;"",$A$5,""))</f>
        <v/>
      </c>
      <c r="N121">
        <f>IF(COUNTIF($J61:N61,N61)&gt;1,"",IF(N61&lt;&gt;"",$A$6,""))</f>
        <v/>
      </c>
      <c r="O121">
        <f>IF(COUNTIF($J61:O61,O61)&gt;1,"",IF(O61&lt;&gt;"",$A$7,""))</f>
        <v/>
      </c>
      <c r="P121">
        <f>IF(COUNTIF($J61:P61,P61)&gt;1,"",IF(P61&lt;&gt;"",$A$8,""))</f>
        <v/>
      </c>
      <c r="Q121">
        <f>IF(COUNTIF($J61:Q61,Q61)&gt;1,"",IF(Q61&lt;&gt;"",$A$9,""))</f>
        <v/>
      </c>
      <c r="R121">
        <f>IF(COUNTIF($J61:R61,R61)&gt;1,"",IF(R61&lt;&gt;"",$A$10,""))</f>
        <v/>
      </c>
      <c r="S121" s="39">
        <f>IF(COUNTIF($J61:S61,S61)&gt;1,"",IF(S61&lt;&gt;"",$A$11,""))</f>
        <v/>
      </c>
    </row>
  </sheetData>
  <conditionalFormatting sqref="A2:C13 A14:B14">
    <cfRule type="cellIs" priority="2" operator="notEqual" dxfId="36">
      <formula>""</formula>
    </cfRule>
  </conditionalFormatting>
  <conditionalFormatting sqref="D2:D13">
    <cfRule type="cellIs" priority="1" operator="notEqual" dxfId="36">
      <formula>""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rleall</dc:creator>
  <dcterms:created xmlns:dcterms="http://purl.org/dc/terms/" xmlns:xsi="http://www.w3.org/2001/XMLSchema-instance" xsi:type="dcterms:W3CDTF">2011-09-13T21:15:38Z</dcterms:created>
  <dcterms:modified xmlns:dcterms="http://purl.org/dc/terms/" xmlns:xsi="http://www.w3.org/2001/XMLSchema-instance" xsi:type="dcterms:W3CDTF">2024-05-03T14:09:02Z</dcterms:modified>
  <cp:lastModifiedBy>Leandro Gutierrez A.</cp:lastModifiedBy>
  <cp:lastPrinted>2012-11-30T22:55:58Z</cp:lastPrinted>
</cp:coreProperties>
</file>