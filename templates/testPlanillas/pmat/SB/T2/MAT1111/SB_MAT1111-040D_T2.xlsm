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54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AGUILAR QUIJANDRIA MELANY XIMENA</t>
        </is>
      </c>
      <c r="C10" s="14" t="inlineStr">
        <is>
          <t>219326769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AGUILERA PERALTA GABRIEL EXEQUIEL FRANCO</t>
        </is>
      </c>
      <c r="C11" s="18" t="inlineStr">
        <is>
          <t>208165372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ALOU ARAYA JOSE ANTONIO</t>
        </is>
      </c>
      <c r="C12" s="14" t="inlineStr">
        <is>
          <t>214393484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ASTETE ALMONACID ESTRELLA PAZ</t>
        </is>
      </c>
      <c r="C13" s="18" t="inlineStr">
        <is>
          <t>218516068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BRIONES GONZALEZ NICOLAS ARTURO</t>
        </is>
      </c>
      <c r="C14" s="14" t="inlineStr">
        <is>
          <t>218348378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CAMPOS CHAVEZ BENJAMIN MAURICIO ELIAS</t>
        </is>
      </c>
      <c r="C15" s="14" t="inlineStr">
        <is>
          <t>217355311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CARO QUIROZ CESAR MARTIN</t>
        </is>
      </c>
      <c r="C16" s="18" t="inlineStr">
        <is>
          <t>214437740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CARRIZO ARCE NICOLAS MAURICIO</t>
        </is>
      </c>
      <c r="C17" s="14" t="inlineStr">
        <is>
          <t>217502330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CORTES VERA DANIEL</t>
        </is>
      </c>
      <c r="C18" s="14" t="inlineStr">
        <is>
          <t>216889223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DAVILA PAREDES EDUARDO ANTONIO</t>
        </is>
      </c>
      <c r="C19" s="18" t="inlineStr">
        <is>
          <t>216985176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DELGADO RAMOS JASMIN ALEJANDRA</t>
        </is>
      </c>
      <c r="C20" s="18" t="inlineStr">
        <is>
          <t>217153166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ESPINOZA ALLENDES CRISTOBAL MAURICIO</t>
        </is>
      </c>
      <c r="C21" s="18" t="inlineStr">
        <is>
          <t>211678437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FOQUET CANSECO NICOLAS ISRAEL</t>
        </is>
      </c>
      <c r="C22" s="18" t="inlineStr">
        <is>
          <t>182206563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FREIRE NEIRA LUIS ALBERTO JESUS</t>
        </is>
      </c>
      <c r="C23" s="18" t="inlineStr">
        <is>
          <t>217972507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GALDAMES FUENTEALBA BRUNO ANTONIO</t>
        </is>
      </c>
      <c r="C24" s="18" t="inlineStr">
        <is>
          <t>214483351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HERNANDEZ GALLEGOS ALEJANDRO ANTONIO</t>
        </is>
      </c>
      <c r="C25" s="18" t="inlineStr">
        <is>
          <t>199151614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HERRERA MENDOZA DIEGO SEBASTIAN</t>
        </is>
      </c>
      <c r="C26" s="18" t="inlineStr">
        <is>
          <t>213022482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JEREZ CORTES JUAN MANUEL</t>
        </is>
      </c>
      <c r="C27" s="18" t="inlineStr">
        <is>
          <t>220071472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JORQUERA SEGUEL LUIS ALFREDO</t>
        </is>
      </c>
      <c r="C28" s="18" t="inlineStr">
        <is>
          <t>208888374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LAGOS RIQUELME ALEJANDRA GRACIELA</t>
        </is>
      </c>
      <c r="C29" s="18" t="inlineStr">
        <is>
          <t>14172553K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LEON AVILA MATIAS BENJAMIN</t>
        </is>
      </c>
      <c r="C30" s="18" t="inlineStr">
        <is>
          <t>217069092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LEON SAAVEDRA DANTE BENITO</t>
        </is>
      </c>
      <c r="C31" s="18" t="inlineStr">
        <is>
          <t>217233232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LLAFQUEN CURIHUINCA CATALINA BELEN</t>
        </is>
      </c>
      <c r="C32" s="18" t="inlineStr">
        <is>
          <t>218029094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LORCA ARMIJO KATHERINE DEL CARMEN</t>
        </is>
      </c>
      <c r="C33" s="18" t="inlineStr">
        <is>
          <t>201876095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MARTINEZ APABLAZA MAXIMILIANO RODRIGO</t>
        </is>
      </c>
      <c r="C34" s="18" t="inlineStr">
        <is>
          <t>22134071K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MARTINEZ CANSINO VALENTINA  ESPERANZA</t>
        </is>
      </c>
      <c r="C35" s="18" t="inlineStr">
        <is>
          <t>218608795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MENDEZ LEAL BENJAMIN IGNACIO</t>
        </is>
      </c>
      <c r="C36" s="18" t="inlineStr">
        <is>
          <t>219768680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MENESES RIQUELME KIMBERLY CONSTANZA</t>
        </is>
      </c>
      <c r="C37" s="18" t="inlineStr">
        <is>
          <t>201134706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MORAN SEPULVEDA NAZARETH</t>
        </is>
      </c>
      <c r="C38" s="18" t="inlineStr">
        <is>
          <t>205992898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MUÑOZ DINAMARCA CRISTOBAL NOLBERTO</t>
        </is>
      </c>
      <c r="C39" s="18" t="inlineStr">
        <is>
          <t>214031213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ORTIZ RAMIREZ JOSHUA</t>
        </is>
      </c>
      <c r="C40" s="18" t="inlineStr">
        <is>
          <t>219796501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PACHECO DONOSO DYLAN ALEXANDER</t>
        </is>
      </c>
      <c r="C41" s="18" t="inlineStr">
        <is>
          <t>217210763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PEREIRA LUENGO YANARA ESTEFANIA</t>
        </is>
      </c>
      <c r="C42" s="18" t="inlineStr">
        <is>
          <t>209325357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RANILAO ESCANILLA CLAUDIO ENRIQUE</t>
        </is>
      </c>
      <c r="C43" s="18" t="inlineStr">
        <is>
          <t>219890966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RETAMAL SOTO YOVANNI ANDRES</t>
        </is>
      </c>
      <c r="C44" s="18" t="inlineStr">
        <is>
          <t>216667247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REYES FLORES SEBASTIAN EDUARDO</t>
        </is>
      </c>
      <c r="C45" s="18" t="inlineStr">
        <is>
          <t>220701573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RIQUELME JACHURA MATIAS</t>
        </is>
      </c>
      <c r="C46" s="18" t="inlineStr">
        <is>
          <t>199136097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ROJAS FLORES CAMILA FERNANDA</t>
        </is>
      </c>
      <c r="C47" s="18" t="inlineStr">
        <is>
          <t>199920952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RUBIO LOBOS GUILLERMO  ALONSO</t>
        </is>
      </c>
      <c r="C48" s="18" t="inlineStr">
        <is>
          <t>219069693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SARMIENTO OPAZO BENJAMIN ANTONIO</t>
        </is>
      </c>
      <c r="C49" s="18" t="inlineStr">
        <is>
          <t>216661486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>
      <c r="A50" s="17" t="n">
        <v>41</v>
      </c>
      <c r="B50" s="18" t="inlineStr">
        <is>
          <t>SEPULVEDA FARFAN CAROLINA ALONDRA</t>
        </is>
      </c>
      <c r="C50" s="18" t="inlineStr">
        <is>
          <t>21801321K</t>
        </is>
      </c>
      <c r="D50" s="1" t="n"/>
      <c r="E50" s="28" t="n"/>
      <c r="F50" s="19" t="n"/>
      <c r="G50" s="19" t="n"/>
      <c r="H50" s="19" t="n"/>
      <c r="I50" s="19" t="n"/>
      <c r="J50" s="19" t="n"/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  <c r="X50" s="19" t="n"/>
      <c r="Y50" s="19" t="n"/>
      <c r="Z50" s="19" t="n"/>
      <c r="AA50" s="19" t="n"/>
      <c r="AB50" s="19" t="n"/>
      <c r="AC50" s="19" t="n"/>
      <c r="AD50" s="19" t="n"/>
      <c r="AE50" s="19" t="n"/>
      <c r="AF50" s="19" t="n"/>
      <c r="AG50" s="19" t="n"/>
      <c r="AH50" s="19" t="n"/>
      <c r="AI50" s="19" t="n"/>
      <c r="AJ50" s="19" t="n"/>
      <c r="AK50" s="19" t="n"/>
      <c r="AL50" s="19" t="n"/>
      <c r="AM50" s="19" t="n"/>
      <c r="AN50" s="19" t="n"/>
      <c r="AO50" s="19" t="n"/>
      <c r="AP50" s="19" t="n"/>
      <c r="AQ50" s="19" t="n"/>
      <c r="AR50" s="19" t="n"/>
      <c r="AS50" s="19" t="n"/>
      <c r="AT50" s="19" t="n"/>
      <c r="AU50" s="19" t="n"/>
      <c r="AV50" s="19" t="n"/>
      <c r="AW50" s="19" t="n"/>
      <c r="AX50" s="19" t="n"/>
      <c r="AY50" s="19" t="n"/>
      <c r="AZ50" s="19" t="n"/>
      <c r="BA50" s="19" t="n"/>
      <c r="BB50" s="19" t="n"/>
      <c r="BC50" s="19" t="n"/>
      <c r="BD50" s="19" t="n"/>
      <c r="BE50" s="19" t="n"/>
      <c r="BF50" s="19" t="n"/>
      <c r="BG50" s="19" t="n"/>
      <c r="BH50" s="19" t="n"/>
      <c r="BI50" s="19" t="n"/>
      <c r="BJ50" s="19" t="n"/>
      <c r="BK50" s="19" t="n"/>
      <c r="BL50" s="29" t="n"/>
      <c r="BM50">
        <f>IFERROR(VLOOKUP(BM$6,Hoja1!$F$2:$XFD$61,E50+4,FALSE),0)</f>
        <v/>
      </c>
      <c r="BN50">
        <f>IFERROR(VLOOKUP(BN$6,Hoja1!$F$2:$XFD$61,F50+4,FALSE),0)</f>
        <v/>
      </c>
      <c r="BO50">
        <f>IFERROR(VLOOKUP(BO$6,Hoja1!$F$2:$XFD$61,G50+4,FALSE),0)</f>
        <v/>
      </c>
      <c r="BP50">
        <f>IFERROR(VLOOKUP(BP$6,Hoja1!$F$2:$XFD$61,H50+4,FALSE),0)</f>
        <v/>
      </c>
      <c r="BQ50">
        <f>IFERROR(VLOOKUP(BQ$6,Hoja1!$F$2:$XFD$61,I50+4,FALSE),0)</f>
        <v/>
      </c>
      <c r="BR50">
        <f>IFERROR(VLOOKUP(BR$6,Hoja1!$F$2:$XFD$61,J50+4,FALSE),0)</f>
        <v/>
      </c>
      <c r="BS50">
        <f>IFERROR(VLOOKUP(BS$6,Hoja1!$F$2:$XFD$61,K50+4,FALSE),0)</f>
        <v/>
      </c>
      <c r="BT50">
        <f>IFERROR(VLOOKUP(BT$6,Hoja1!$F$2:$XFD$61,L50+4,FALSE),0)</f>
        <v/>
      </c>
      <c r="BU50">
        <f>IFERROR(VLOOKUP(BU$6,Hoja1!$F$2:$XFD$61,M50+4,FALSE),0)</f>
        <v/>
      </c>
      <c r="BV50">
        <f>IFERROR(VLOOKUP(BV$6,Hoja1!$F$2:$XFD$61,N50+4,FALSE),0)</f>
        <v/>
      </c>
      <c r="BW50">
        <f>IFERROR(VLOOKUP(BW$6,Hoja1!$F$2:$XFD$61,O50+4,FALSE),0)</f>
        <v/>
      </c>
      <c r="BX50">
        <f>IFERROR(VLOOKUP(BX$6,Hoja1!$F$2:$XFD$61,P50+4,FALSE),0)</f>
        <v/>
      </c>
      <c r="BY50">
        <f>IFERROR(VLOOKUP(BY$6,Hoja1!$F$2:$XFD$61,Q50+4,FALSE),0)</f>
        <v/>
      </c>
      <c r="BZ50">
        <f>IFERROR(VLOOKUP(BZ$6,Hoja1!$F$2:$XFD$61,R50+4,FALSE),0)</f>
        <v/>
      </c>
      <c r="CA50">
        <f>IFERROR(VLOOKUP(CA$6,Hoja1!$F$2:$XFD$61,S50+4,FALSE),0)</f>
        <v/>
      </c>
      <c r="CB50">
        <f>IFERROR(VLOOKUP(CB$6,Hoja1!$F$2:$XFD$61,T50+4,FALSE),0)</f>
        <v/>
      </c>
      <c r="CC50">
        <f>IFERROR(VLOOKUP(CC$6,Hoja1!$F$2:$XFD$61,U50+4,FALSE),0)</f>
        <v/>
      </c>
      <c r="CD50">
        <f>IFERROR(VLOOKUP(CD$6,Hoja1!$F$2:$XFD$61,V50+4,FALSE),0)</f>
        <v/>
      </c>
      <c r="CE50">
        <f>IFERROR(VLOOKUP(CE$6,Hoja1!$F$2:$XFD$61,W50+4,FALSE),0)</f>
        <v/>
      </c>
      <c r="CF50">
        <f>IFERROR(VLOOKUP(CF$6,Hoja1!$F$2:$XFD$61,X50+4,FALSE),0)</f>
        <v/>
      </c>
      <c r="CG50">
        <f>IFERROR(VLOOKUP(CG$6,Hoja1!$F$2:$XFD$61,Y50+4,FALSE),0)</f>
        <v/>
      </c>
      <c r="CH50">
        <f>IFERROR(VLOOKUP(CH$6,Hoja1!$F$2:$XFD$61,Z50+4,FALSE),0)</f>
        <v/>
      </c>
      <c r="CI50">
        <f>IFERROR(VLOOKUP(CI$6,Hoja1!$F$2:$XFD$61,AA50+4,FALSE),0)</f>
        <v/>
      </c>
      <c r="CJ50">
        <f>IFERROR(VLOOKUP(CJ$6,Hoja1!$F$2:$XFD$61,AB50+4,FALSE),0)</f>
        <v/>
      </c>
      <c r="CK50">
        <f>IFERROR(VLOOKUP(CK$6,Hoja1!$F$2:$XFD$61,AC50+4,FALSE),0)</f>
        <v/>
      </c>
      <c r="CL50">
        <f>IFERROR(VLOOKUP(CL$6,Hoja1!$F$2:$XFD$61,AD50+4,FALSE),0)</f>
        <v/>
      </c>
      <c r="CM50">
        <f>IFERROR(VLOOKUP(CM$6,Hoja1!$F$2:$XFD$61,AE50+4,FALSE),0)</f>
        <v/>
      </c>
      <c r="CN50">
        <f>IFERROR(VLOOKUP(CN$6,Hoja1!$F$2:$XFD$61,AF50+4,FALSE),0)</f>
        <v/>
      </c>
      <c r="CO50">
        <f>IFERROR(VLOOKUP(CO$6,Hoja1!$F$2:$XFD$61,AG50+4,FALSE),0)</f>
        <v/>
      </c>
      <c r="CP50">
        <f>IFERROR(VLOOKUP(CP$6,Hoja1!$F$2:$XFD$61,AH50+4,FALSE),0)</f>
        <v/>
      </c>
      <c r="CQ50">
        <f>IFERROR(VLOOKUP(CQ$6,Hoja1!$F$2:$XFD$61,AI50+4,FALSE),0)</f>
        <v/>
      </c>
      <c r="CR50">
        <f>IFERROR(VLOOKUP(CR$6,Hoja1!$F$2:$XFD$61,AJ50+4,FALSE),0)</f>
        <v/>
      </c>
      <c r="CS50">
        <f>IFERROR(VLOOKUP(CS$6,Hoja1!$F$2:$XFD$61,AK50+4,FALSE),0)</f>
        <v/>
      </c>
      <c r="CT50">
        <f>IFERROR(VLOOKUP(CT$6,Hoja1!$F$2:$XFD$61,AL50+4,FALSE),0)</f>
        <v/>
      </c>
      <c r="CU50">
        <f>IFERROR(VLOOKUP(CU$6,Hoja1!$F$2:$XFD$61,AM50+4,FALSE),0)</f>
        <v/>
      </c>
      <c r="CV50">
        <f>IFERROR(VLOOKUP(CV$6,Hoja1!$F$2:$XFD$61,AN50+4,FALSE),0)</f>
        <v/>
      </c>
      <c r="CW50">
        <f>IFERROR(VLOOKUP(CW$6,Hoja1!$F$2:$XFD$61,AO50+4,FALSE),0)</f>
        <v/>
      </c>
      <c r="CX50">
        <f>IFERROR(VLOOKUP(CX$6,Hoja1!$F$2:$XFD$61,AP50+4,FALSE),0)</f>
        <v/>
      </c>
      <c r="CY50">
        <f>IFERROR(VLOOKUP(CY$6,Hoja1!$F$2:$XFD$61,AQ50+4,FALSE),0)</f>
        <v/>
      </c>
      <c r="CZ50">
        <f>IFERROR(VLOOKUP(CZ$6,Hoja1!$F$2:$XFD$61,AR50+4,FALSE),0)</f>
        <v/>
      </c>
      <c r="DA50">
        <f>IFERROR(VLOOKUP(DA$6,Hoja1!$F$2:$XFD$61,AS50+4,FALSE),0)</f>
        <v/>
      </c>
      <c r="DB50">
        <f>IFERROR(VLOOKUP(DB$6,Hoja1!$F$2:$XFD$61,AT50+4,FALSE),0)</f>
        <v/>
      </c>
      <c r="DC50">
        <f>IFERROR(VLOOKUP(DC$6,Hoja1!$F$2:$XFD$61,AU50+4,FALSE),0)</f>
        <v/>
      </c>
      <c r="DD50">
        <f>IFERROR(VLOOKUP(DD$6,Hoja1!$F$2:$XFD$61,AV50+4,FALSE),0)</f>
        <v/>
      </c>
      <c r="DE50">
        <f>IFERROR(VLOOKUP(DE$6,Hoja1!$F$2:$XFD$61,AW50+4,FALSE),0)</f>
        <v/>
      </c>
      <c r="DF50">
        <f>IFERROR(VLOOKUP(DF$6,Hoja1!$F$2:$XFD$61,AX50+4,FALSE),0)</f>
        <v/>
      </c>
      <c r="DG50">
        <f>IFERROR(VLOOKUP(DG$6,Hoja1!$F$2:$XFD$61,AY50+4,FALSE),0)</f>
        <v/>
      </c>
      <c r="DH50">
        <f>IFERROR(VLOOKUP(DH$6,Hoja1!$F$2:$XFD$61,AZ50+4,FALSE),0)</f>
        <v/>
      </c>
      <c r="DI50">
        <f>IFERROR(VLOOKUP(DI$6,Hoja1!$F$2:$XFD$61,BA50+4,FALSE),0)</f>
        <v/>
      </c>
      <c r="DJ50">
        <f>IFERROR(VLOOKUP(DJ$6,Hoja1!$F$2:$XFD$61,BB50+4,FALSE),0)</f>
        <v/>
      </c>
      <c r="DK50">
        <f>IFERROR(VLOOKUP(DK$6,Hoja1!$F$2:$XFD$61,BC50+4,FALSE),0)</f>
        <v/>
      </c>
      <c r="DL50">
        <f>IFERROR(VLOOKUP(DL$6,Hoja1!$F$2:$XFD$61,BD50+4,FALSE),0)</f>
        <v/>
      </c>
      <c r="DM50">
        <f>IFERROR(VLOOKUP(DM$6,Hoja1!$F$2:$XFD$61,BE50+4,FALSE),0)</f>
        <v/>
      </c>
      <c r="DN50">
        <f>IFERROR(VLOOKUP(DN$6,Hoja1!$F$2:$XFD$61,BF50+4,FALSE),0)</f>
        <v/>
      </c>
      <c r="DO50">
        <f>IFERROR(VLOOKUP(DO$6,Hoja1!$F$2:$XFD$61,BG50+4,FALSE),0)</f>
        <v/>
      </c>
      <c r="DP50">
        <f>IFERROR(VLOOKUP(DP$6,Hoja1!$F$2:$XFD$61,BH50+4,FALSE),0)</f>
        <v/>
      </c>
      <c r="DQ50">
        <f>IFERROR(VLOOKUP(DQ$6,Hoja1!$F$2:$XFD$61,BI50+4,FALSE),0)</f>
        <v/>
      </c>
      <c r="DR50">
        <f>IFERROR(VLOOKUP(DR$6,Hoja1!$F$2:$XFD$61,BJ50+4,FALSE),0)</f>
        <v/>
      </c>
      <c r="DS50">
        <f>IFERROR(VLOOKUP(DS$6,Hoja1!$F$2:$XFD$61,BK50+4,FALSE),0)</f>
        <v/>
      </c>
      <c r="DT50">
        <f>IFERROR(VLOOKUP(DT$6,Hoja1!$F$2:$XFD$61,BL50+4,FALSE),0)</f>
        <v/>
      </c>
      <c r="DU50" s="15">
        <f>IF(COUNT(E50:BL50)=$DV$7,IF(D50="","indique grupo",SUM(BM50:DT50)),"")</f>
        <v/>
      </c>
      <c r="DV50" s="16">
        <f>IF(D50&lt;&gt;"",IF(DU50="","",IF(DU50&gt;=$DU$7*Hoja1!$E$2,4+3/($DU$7*(1-Hoja1!$E$2))*(DU50-$DU$7*Hoja1!$E$2),1+3/($DU$7*Hoja1!$E$2)*DU50)),DU50)</f>
        <v/>
      </c>
      <c r="DW50" s="47" t="b">
        <v>0</v>
      </c>
    </row>
    <row r="51" ht="23.25" customHeight="1">
      <c r="A51" s="17" t="n">
        <v>42</v>
      </c>
      <c r="B51" s="18" t="inlineStr">
        <is>
          <t>SOLIS BASCUÑAN LUCAS PABLO</t>
        </is>
      </c>
      <c r="C51" s="18" t="inlineStr">
        <is>
          <t>215997987</t>
        </is>
      </c>
      <c r="D51" s="1" t="n"/>
      <c r="E51" s="28" t="n"/>
      <c r="F51" s="19" t="n"/>
      <c r="G51" s="19" t="n"/>
      <c r="H51" s="19" t="n"/>
      <c r="I51" s="19" t="n"/>
      <c r="J51" s="19" t="n"/>
      <c r="K51" s="19" t="n"/>
      <c r="L51" s="19" t="n"/>
      <c r="M51" s="19" t="n"/>
      <c r="N51" s="19" t="n"/>
      <c r="O51" s="19" t="n"/>
      <c r="P51" s="19" t="n"/>
      <c r="Q51" s="19" t="n"/>
      <c r="R51" s="19" t="n"/>
      <c r="S51" s="19" t="n"/>
      <c r="T51" s="19" t="n"/>
      <c r="U51" s="19" t="n"/>
      <c r="V51" s="19" t="n"/>
      <c r="W51" s="19" t="n"/>
      <c r="X51" s="19" t="n"/>
      <c r="Y51" s="19" t="n"/>
      <c r="Z51" s="19" t="n"/>
      <c r="AA51" s="19" t="n"/>
      <c r="AB51" s="19" t="n"/>
      <c r="AC51" s="19" t="n"/>
      <c r="AD51" s="19" t="n"/>
      <c r="AE51" s="19" t="n"/>
      <c r="AF51" s="19" t="n"/>
      <c r="AG51" s="19" t="n"/>
      <c r="AH51" s="19" t="n"/>
      <c r="AI51" s="19" t="n"/>
      <c r="AJ51" s="19" t="n"/>
      <c r="AK51" s="19" t="n"/>
      <c r="AL51" s="19" t="n"/>
      <c r="AM51" s="19" t="n"/>
      <c r="AN51" s="19" t="n"/>
      <c r="AO51" s="19" t="n"/>
      <c r="AP51" s="19" t="n"/>
      <c r="AQ51" s="19" t="n"/>
      <c r="AR51" s="19" t="n"/>
      <c r="AS51" s="19" t="n"/>
      <c r="AT51" s="19" t="n"/>
      <c r="AU51" s="19" t="n"/>
      <c r="AV51" s="19" t="n"/>
      <c r="AW51" s="19" t="n"/>
      <c r="AX51" s="19" t="n"/>
      <c r="AY51" s="19" t="n"/>
      <c r="AZ51" s="19" t="n"/>
      <c r="BA51" s="19" t="n"/>
      <c r="BB51" s="19" t="n"/>
      <c r="BC51" s="19" t="n"/>
      <c r="BD51" s="19" t="n"/>
      <c r="BE51" s="19" t="n"/>
      <c r="BF51" s="19" t="n"/>
      <c r="BG51" s="19" t="n"/>
      <c r="BH51" s="19" t="n"/>
      <c r="BI51" s="19" t="n"/>
      <c r="BJ51" s="19" t="n"/>
      <c r="BK51" s="19" t="n"/>
      <c r="BL51" s="29" t="n"/>
      <c r="BM51">
        <f>IFERROR(VLOOKUP(BM$6,Hoja1!$F$2:$XFD$61,E51+4,FALSE),0)</f>
        <v/>
      </c>
      <c r="BN51">
        <f>IFERROR(VLOOKUP(BN$6,Hoja1!$F$2:$XFD$61,F51+4,FALSE),0)</f>
        <v/>
      </c>
      <c r="BO51">
        <f>IFERROR(VLOOKUP(BO$6,Hoja1!$F$2:$XFD$61,G51+4,FALSE),0)</f>
        <v/>
      </c>
      <c r="BP51">
        <f>IFERROR(VLOOKUP(BP$6,Hoja1!$F$2:$XFD$61,H51+4,FALSE),0)</f>
        <v/>
      </c>
      <c r="BQ51">
        <f>IFERROR(VLOOKUP(BQ$6,Hoja1!$F$2:$XFD$61,I51+4,FALSE),0)</f>
        <v/>
      </c>
      <c r="BR51">
        <f>IFERROR(VLOOKUP(BR$6,Hoja1!$F$2:$XFD$61,J51+4,FALSE),0)</f>
        <v/>
      </c>
      <c r="BS51">
        <f>IFERROR(VLOOKUP(BS$6,Hoja1!$F$2:$XFD$61,K51+4,FALSE),0)</f>
        <v/>
      </c>
      <c r="BT51">
        <f>IFERROR(VLOOKUP(BT$6,Hoja1!$F$2:$XFD$61,L51+4,FALSE),0)</f>
        <v/>
      </c>
      <c r="BU51">
        <f>IFERROR(VLOOKUP(BU$6,Hoja1!$F$2:$XFD$61,M51+4,FALSE),0)</f>
        <v/>
      </c>
      <c r="BV51">
        <f>IFERROR(VLOOKUP(BV$6,Hoja1!$F$2:$XFD$61,N51+4,FALSE),0)</f>
        <v/>
      </c>
      <c r="BW51">
        <f>IFERROR(VLOOKUP(BW$6,Hoja1!$F$2:$XFD$61,O51+4,FALSE),0)</f>
        <v/>
      </c>
      <c r="BX51">
        <f>IFERROR(VLOOKUP(BX$6,Hoja1!$F$2:$XFD$61,P51+4,FALSE),0)</f>
        <v/>
      </c>
      <c r="BY51">
        <f>IFERROR(VLOOKUP(BY$6,Hoja1!$F$2:$XFD$61,Q51+4,FALSE),0)</f>
        <v/>
      </c>
      <c r="BZ51">
        <f>IFERROR(VLOOKUP(BZ$6,Hoja1!$F$2:$XFD$61,R51+4,FALSE),0)</f>
        <v/>
      </c>
      <c r="CA51">
        <f>IFERROR(VLOOKUP(CA$6,Hoja1!$F$2:$XFD$61,S51+4,FALSE),0)</f>
        <v/>
      </c>
      <c r="CB51">
        <f>IFERROR(VLOOKUP(CB$6,Hoja1!$F$2:$XFD$61,T51+4,FALSE),0)</f>
        <v/>
      </c>
      <c r="CC51">
        <f>IFERROR(VLOOKUP(CC$6,Hoja1!$F$2:$XFD$61,U51+4,FALSE),0)</f>
        <v/>
      </c>
      <c r="CD51">
        <f>IFERROR(VLOOKUP(CD$6,Hoja1!$F$2:$XFD$61,V51+4,FALSE),0)</f>
        <v/>
      </c>
      <c r="CE51">
        <f>IFERROR(VLOOKUP(CE$6,Hoja1!$F$2:$XFD$61,W51+4,FALSE),0)</f>
        <v/>
      </c>
      <c r="CF51">
        <f>IFERROR(VLOOKUP(CF$6,Hoja1!$F$2:$XFD$61,X51+4,FALSE),0)</f>
        <v/>
      </c>
      <c r="CG51">
        <f>IFERROR(VLOOKUP(CG$6,Hoja1!$F$2:$XFD$61,Y51+4,FALSE),0)</f>
        <v/>
      </c>
      <c r="CH51">
        <f>IFERROR(VLOOKUP(CH$6,Hoja1!$F$2:$XFD$61,Z51+4,FALSE),0)</f>
        <v/>
      </c>
      <c r="CI51">
        <f>IFERROR(VLOOKUP(CI$6,Hoja1!$F$2:$XFD$61,AA51+4,FALSE),0)</f>
        <v/>
      </c>
      <c r="CJ51">
        <f>IFERROR(VLOOKUP(CJ$6,Hoja1!$F$2:$XFD$61,AB51+4,FALSE),0)</f>
        <v/>
      </c>
      <c r="CK51">
        <f>IFERROR(VLOOKUP(CK$6,Hoja1!$F$2:$XFD$61,AC51+4,FALSE),0)</f>
        <v/>
      </c>
      <c r="CL51">
        <f>IFERROR(VLOOKUP(CL$6,Hoja1!$F$2:$XFD$61,AD51+4,FALSE),0)</f>
        <v/>
      </c>
      <c r="CM51">
        <f>IFERROR(VLOOKUP(CM$6,Hoja1!$F$2:$XFD$61,AE51+4,FALSE),0)</f>
        <v/>
      </c>
      <c r="CN51">
        <f>IFERROR(VLOOKUP(CN$6,Hoja1!$F$2:$XFD$61,AF51+4,FALSE),0)</f>
        <v/>
      </c>
      <c r="CO51">
        <f>IFERROR(VLOOKUP(CO$6,Hoja1!$F$2:$XFD$61,AG51+4,FALSE),0)</f>
        <v/>
      </c>
      <c r="CP51">
        <f>IFERROR(VLOOKUP(CP$6,Hoja1!$F$2:$XFD$61,AH51+4,FALSE),0)</f>
        <v/>
      </c>
      <c r="CQ51">
        <f>IFERROR(VLOOKUP(CQ$6,Hoja1!$F$2:$XFD$61,AI51+4,FALSE),0)</f>
        <v/>
      </c>
      <c r="CR51">
        <f>IFERROR(VLOOKUP(CR$6,Hoja1!$F$2:$XFD$61,AJ51+4,FALSE),0)</f>
        <v/>
      </c>
      <c r="CS51">
        <f>IFERROR(VLOOKUP(CS$6,Hoja1!$F$2:$XFD$61,AK51+4,FALSE),0)</f>
        <v/>
      </c>
      <c r="CT51">
        <f>IFERROR(VLOOKUP(CT$6,Hoja1!$F$2:$XFD$61,AL51+4,FALSE),0)</f>
        <v/>
      </c>
      <c r="CU51">
        <f>IFERROR(VLOOKUP(CU$6,Hoja1!$F$2:$XFD$61,AM51+4,FALSE),0)</f>
        <v/>
      </c>
      <c r="CV51">
        <f>IFERROR(VLOOKUP(CV$6,Hoja1!$F$2:$XFD$61,AN51+4,FALSE),0)</f>
        <v/>
      </c>
      <c r="CW51">
        <f>IFERROR(VLOOKUP(CW$6,Hoja1!$F$2:$XFD$61,AO51+4,FALSE),0)</f>
        <v/>
      </c>
      <c r="CX51">
        <f>IFERROR(VLOOKUP(CX$6,Hoja1!$F$2:$XFD$61,AP51+4,FALSE),0)</f>
        <v/>
      </c>
      <c r="CY51">
        <f>IFERROR(VLOOKUP(CY$6,Hoja1!$F$2:$XFD$61,AQ51+4,FALSE),0)</f>
        <v/>
      </c>
      <c r="CZ51">
        <f>IFERROR(VLOOKUP(CZ$6,Hoja1!$F$2:$XFD$61,AR51+4,FALSE),0)</f>
        <v/>
      </c>
      <c r="DA51">
        <f>IFERROR(VLOOKUP(DA$6,Hoja1!$F$2:$XFD$61,AS51+4,FALSE),0)</f>
        <v/>
      </c>
      <c r="DB51">
        <f>IFERROR(VLOOKUP(DB$6,Hoja1!$F$2:$XFD$61,AT51+4,FALSE),0)</f>
        <v/>
      </c>
      <c r="DC51">
        <f>IFERROR(VLOOKUP(DC$6,Hoja1!$F$2:$XFD$61,AU51+4,FALSE),0)</f>
        <v/>
      </c>
      <c r="DD51">
        <f>IFERROR(VLOOKUP(DD$6,Hoja1!$F$2:$XFD$61,AV51+4,FALSE),0)</f>
        <v/>
      </c>
      <c r="DE51">
        <f>IFERROR(VLOOKUP(DE$6,Hoja1!$F$2:$XFD$61,AW51+4,FALSE),0)</f>
        <v/>
      </c>
      <c r="DF51">
        <f>IFERROR(VLOOKUP(DF$6,Hoja1!$F$2:$XFD$61,AX51+4,FALSE),0)</f>
        <v/>
      </c>
      <c r="DG51">
        <f>IFERROR(VLOOKUP(DG$6,Hoja1!$F$2:$XFD$61,AY51+4,FALSE),0)</f>
        <v/>
      </c>
      <c r="DH51">
        <f>IFERROR(VLOOKUP(DH$6,Hoja1!$F$2:$XFD$61,AZ51+4,FALSE),0)</f>
        <v/>
      </c>
      <c r="DI51">
        <f>IFERROR(VLOOKUP(DI$6,Hoja1!$F$2:$XFD$61,BA51+4,FALSE),0)</f>
        <v/>
      </c>
      <c r="DJ51">
        <f>IFERROR(VLOOKUP(DJ$6,Hoja1!$F$2:$XFD$61,BB51+4,FALSE),0)</f>
        <v/>
      </c>
      <c r="DK51">
        <f>IFERROR(VLOOKUP(DK$6,Hoja1!$F$2:$XFD$61,BC51+4,FALSE),0)</f>
        <v/>
      </c>
      <c r="DL51">
        <f>IFERROR(VLOOKUP(DL$6,Hoja1!$F$2:$XFD$61,BD51+4,FALSE),0)</f>
        <v/>
      </c>
      <c r="DM51">
        <f>IFERROR(VLOOKUP(DM$6,Hoja1!$F$2:$XFD$61,BE51+4,FALSE),0)</f>
        <v/>
      </c>
      <c r="DN51">
        <f>IFERROR(VLOOKUP(DN$6,Hoja1!$F$2:$XFD$61,BF51+4,FALSE),0)</f>
        <v/>
      </c>
      <c r="DO51">
        <f>IFERROR(VLOOKUP(DO$6,Hoja1!$F$2:$XFD$61,BG51+4,FALSE),0)</f>
        <v/>
      </c>
      <c r="DP51">
        <f>IFERROR(VLOOKUP(DP$6,Hoja1!$F$2:$XFD$61,BH51+4,FALSE),0)</f>
        <v/>
      </c>
      <c r="DQ51">
        <f>IFERROR(VLOOKUP(DQ$6,Hoja1!$F$2:$XFD$61,BI51+4,FALSE),0)</f>
        <v/>
      </c>
      <c r="DR51">
        <f>IFERROR(VLOOKUP(DR$6,Hoja1!$F$2:$XFD$61,BJ51+4,FALSE),0)</f>
        <v/>
      </c>
      <c r="DS51">
        <f>IFERROR(VLOOKUP(DS$6,Hoja1!$F$2:$XFD$61,BK51+4,FALSE),0)</f>
        <v/>
      </c>
      <c r="DT51">
        <f>IFERROR(VLOOKUP(DT$6,Hoja1!$F$2:$XFD$61,BL51+4,FALSE),0)</f>
        <v/>
      </c>
      <c r="DU51" s="15">
        <f>IF(COUNT(E51:BL51)=$DV$7,IF(D51="","indique grupo",SUM(BM51:DT51)),"")</f>
        <v/>
      </c>
      <c r="DV51" s="16">
        <f>IF(D51&lt;&gt;"",IF(DU51="","",IF(DU51&gt;=$DU$7*Hoja1!$E$2,4+3/($DU$7*(1-Hoja1!$E$2))*(DU51-$DU$7*Hoja1!$E$2),1+3/($DU$7*Hoja1!$E$2)*DU51)),DU51)</f>
        <v/>
      </c>
      <c r="DW51" s="47" t="b">
        <v>0</v>
      </c>
    </row>
    <row r="52" ht="23.25" customHeight="1">
      <c r="A52" s="17" t="n">
        <v>43</v>
      </c>
      <c r="B52" s="18" t="inlineStr">
        <is>
          <t>YANEZ YANEZ PALOMA  BELEN</t>
        </is>
      </c>
      <c r="C52" s="18" t="inlineStr">
        <is>
          <t>217775973</t>
        </is>
      </c>
      <c r="D52" s="1" t="n"/>
      <c r="E52" s="28" t="n"/>
      <c r="F52" s="19" t="n"/>
      <c r="G52" s="19" t="n"/>
      <c r="H52" s="19" t="n"/>
      <c r="I52" s="19" t="n"/>
      <c r="J52" s="19" t="n"/>
      <c r="K52" s="19" t="n"/>
      <c r="L52" s="19" t="n"/>
      <c r="M52" s="19" t="n"/>
      <c r="N52" s="19" t="n"/>
      <c r="O52" s="19" t="n"/>
      <c r="P52" s="19" t="n"/>
      <c r="Q52" s="19" t="n"/>
      <c r="R52" s="19" t="n"/>
      <c r="S52" s="19" t="n"/>
      <c r="T52" s="19" t="n"/>
      <c r="U52" s="19" t="n"/>
      <c r="V52" s="19" t="n"/>
      <c r="W52" s="19" t="n"/>
      <c r="X52" s="19" t="n"/>
      <c r="Y52" s="19" t="n"/>
      <c r="Z52" s="19" t="n"/>
      <c r="AA52" s="19" t="n"/>
      <c r="AB52" s="19" t="n"/>
      <c r="AC52" s="19" t="n"/>
      <c r="AD52" s="19" t="n"/>
      <c r="AE52" s="19" t="n"/>
      <c r="AF52" s="19" t="n"/>
      <c r="AG52" s="19" t="n"/>
      <c r="AH52" s="19" t="n"/>
      <c r="AI52" s="19" t="n"/>
      <c r="AJ52" s="19" t="n"/>
      <c r="AK52" s="19" t="n"/>
      <c r="AL52" s="19" t="n"/>
      <c r="AM52" s="19" t="n"/>
      <c r="AN52" s="19" t="n"/>
      <c r="AO52" s="19" t="n"/>
      <c r="AP52" s="19" t="n"/>
      <c r="AQ52" s="19" t="n"/>
      <c r="AR52" s="19" t="n"/>
      <c r="AS52" s="19" t="n"/>
      <c r="AT52" s="19" t="n"/>
      <c r="AU52" s="19" t="n"/>
      <c r="AV52" s="19" t="n"/>
      <c r="AW52" s="19" t="n"/>
      <c r="AX52" s="19" t="n"/>
      <c r="AY52" s="19" t="n"/>
      <c r="AZ52" s="19" t="n"/>
      <c r="BA52" s="19" t="n"/>
      <c r="BB52" s="19" t="n"/>
      <c r="BC52" s="19" t="n"/>
      <c r="BD52" s="19" t="n"/>
      <c r="BE52" s="19" t="n"/>
      <c r="BF52" s="19" t="n"/>
      <c r="BG52" s="19" t="n"/>
      <c r="BH52" s="19" t="n"/>
      <c r="BI52" s="19" t="n"/>
      <c r="BJ52" s="19" t="n"/>
      <c r="BK52" s="19" t="n"/>
      <c r="BL52" s="29" t="n"/>
      <c r="BM52">
        <f>IFERROR(VLOOKUP(BM$6,Hoja1!$F$2:$XFD$61,E52+4,FALSE),0)</f>
        <v/>
      </c>
      <c r="BN52">
        <f>IFERROR(VLOOKUP(BN$6,Hoja1!$F$2:$XFD$61,F52+4,FALSE),0)</f>
        <v/>
      </c>
      <c r="BO52">
        <f>IFERROR(VLOOKUP(BO$6,Hoja1!$F$2:$XFD$61,G52+4,FALSE),0)</f>
        <v/>
      </c>
      <c r="BP52">
        <f>IFERROR(VLOOKUP(BP$6,Hoja1!$F$2:$XFD$61,H52+4,FALSE),0)</f>
        <v/>
      </c>
      <c r="BQ52">
        <f>IFERROR(VLOOKUP(BQ$6,Hoja1!$F$2:$XFD$61,I52+4,FALSE),0)</f>
        <v/>
      </c>
      <c r="BR52">
        <f>IFERROR(VLOOKUP(BR$6,Hoja1!$F$2:$XFD$61,J52+4,FALSE),0)</f>
        <v/>
      </c>
      <c r="BS52">
        <f>IFERROR(VLOOKUP(BS$6,Hoja1!$F$2:$XFD$61,K52+4,FALSE),0)</f>
        <v/>
      </c>
      <c r="BT52">
        <f>IFERROR(VLOOKUP(BT$6,Hoja1!$F$2:$XFD$61,L52+4,FALSE),0)</f>
        <v/>
      </c>
      <c r="BU52">
        <f>IFERROR(VLOOKUP(BU$6,Hoja1!$F$2:$XFD$61,M52+4,FALSE),0)</f>
        <v/>
      </c>
      <c r="BV52">
        <f>IFERROR(VLOOKUP(BV$6,Hoja1!$F$2:$XFD$61,N52+4,FALSE),0)</f>
        <v/>
      </c>
      <c r="BW52">
        <f>IFERROR(VLOOKUP(BW$6,Hoja1!$F$2:$XFD$61,O52+4,FALSE),0)</f>
        <v/>
      </c>
      <c r="BX52">
        <f>IFERROR(VLOOKUP(BX$6,Hoja1!$F$2:$XFD$61,P52+4,FALSE),0)</f>
        <v/>
      </c>
      <c r="BY52">
        <f>IFERROR(VLOOKUP(BY$6,Hoja1!$F$2:$XFD$61,Q52+4,FALSE),0)</f>
        <v/>
      </c>
      <c r="BZ52">
        <f>IFERROR(VLOOKUP(BZ$6,Hoja1!$F$2:$XFD$61,R52+4,FALSE),0)</f>
        <v/>
      </c>
      <c r="CA52">
        <f>IFERROR(VLOOKUP(CA$6,Hoja1!$F$2:$XFD$61,S52+4,FALSE),0)</f>
        <v/>
      </c>
      <c r="CB52">
        <f>IFERROR(VLOOKUP(CB$6,Hoja1!$F$2:$XFD$61,T52+4,FALSE),0)</f>
        <v/>
      </c>
      <c r="CC52">
        <f>IFERROR(VLOOKUP(CC$6,Hoja1!$F$2:$XFD$61,U52+4,FALSE),0)</f>
        <v/>
      </c>
      <c r="CD52">
        <f>IFERROR(VLOOKUP(CD$6,Hoja1!$F$2:$XFD$61,V52+4,FALSE),0)</f>
        <v/>
      </c>
      <c r="CE52">
        <f>IFERROR(VLOOKUP(CE$6,Hoja1!$F$2:$XFD$61,W52+4,FALSE),0)</f>
        <v/>
      </c>
      <c r="CF52">
        <f>IFERROR(VLOOKUP(CF$6,Hoja1!$F$2:$XFD$61,X52+4,FALSE),0)</f>
        <v/>
      </c>
      <c r="CG52">
        <f>IFERROR(VLOOKUP(CG$6,Hoja1!$F$2:$XFD$61,Y52+4,FALSE),0)</f>
        <v/>
      </c>
      <c r="CH52">
        <f>IFERROR(VLOOKUP(CH$6,Hoja1!$F$2:$XFD$61,Z52+4,FALSE),0)</f>
        <v/>
      </c>
      <c r="CI52">
        <f>IFERROR(VLOOKUP(CI$6,Hoja1!$F$2:$XFD$61,AA52+4,FALSE),0)</f>
        <v/>
      </c>
      <c r="CJ52">
        <f>IFERROR(VLOOKUP(CJ$6,Hoja1!$F$2:$XFD$61,AB52+4,FALSE),0)</f>
        <v/>
      </c>
      <c r="CK52">
        <f>IFERROR(VLOOKUP(CK$6,Hoja1!$F$2:$XFD$61,AC52+4,FALSE),0)</f>
        <v/>
      </c>
      <c r="CL52">
        <f>IFERROR(VLOOKUP(CL$6,Hoja1!$F$2:$XFD$61,AD52+4,FALSE),0)</f>
        <v/>
      </c>
      <c r="CM52">
        <f>IFERROR(VLOOKUP(CM$6,Hoja1!$F$2:$XFD$61,AE52+4,FALSE),0)</f>
        <v/>
      </c>
      <c r="CN52">
        <f>IFERROR(VLOOKUP(CN$6,Hoja1!$F$2:$XFD$61,AF52+4,FALSE),0)</f>
        <v/>
      </c>
      <c r="CO52">
        <f>IFERROR(VLOOKUP(CO$6,Hoja1!$F$2:$XFD$61,AG52+4,FALSE),0)</f>
        <v/>
      </c>
      <c r="CP52">
        <f>IFERROR(VLOOKUP(CP$6,Hoja1!$F$2:$XFD$61,AH52+4,FALSE),0)</f>
        <v/>
      </c>
      <c r="CQ52">
        <f>IFERROR(VLOOKUP(CQ$6,Hoja1!$F$2:$XFD$61,AI52+4,FALSE),0)</f>
        <v/>
      </c>
      <c r="CR52">
        <f>IFERROR(VLOOKUP(CR$6,Hoja1!$F$2:$XFD$61,AJ52+4,FALSE),0)</f>
        <v/>
      </c>
      <c r="CS52">
        <f>IFERROR(VLOOKUP(CS$6,Hoja1!$F$2:$XFD$61,AK52+4,FALSE),0)</f>
        <v/>
      </c>
      <c r="CT52">
        <f>IFERROR(VLOOKUP(CT$6,Hoja1!$F$2:$XFD$61,AL52+4,FALSE),0)</f>
        <v/>
      </c>
      <c r="CU52">
        <f>IFERROR(VLOOKUP(CU$6,Hoja1!$F$2:$XFD$61,AM52+4,FALSE),0)</f>
        <v/>
      </c>
      <c r="CV52">
        <f>IFERROR(VLOOKUP(CV$6,Hoja1!$F$2:$XFD$61,AN52+4,FALSE),0)</f>
        <v/>
      </c>
      <c r="CW52">
        <f>IFERROR(VLOOKUP(CW$6,Hoja1!$F$2:$XFD$61,AO52+4,FALSE),0)</f>
        <v/>
      </c>
      <c r="CX52">
        <f>IFERROR(VLOOKUP(CX$6,Hoja1!$F$2:$XFD$61,AP52+4,FALSE),0)</f>
        <v/>
      </c>
      <c r="CY52">
        <f>IFERROR(VLOOKUP(CY$6,Hoja1!$F$2:$XFD$61,AQ52+4,FALSE),0)</f>
        <v/>
      </c>
      <c r="CZ52">
        <f>IFERROR(VLOOKUP(CZ$6,Hoja1!$F$2:$XFD$61,AR52+4,FALSE),0)</f>
        <v/>
      </c>
      <c r="DA52">
        <f>IFERROR(VLOOKUP(DA$6,Hoja1!$F$2:$XFD$61,AS52+4,FALSE),0)</f>
        <v/>
      </c>
      <c r="DB52">
        <f>IFERROR(VLOOKUP(DB$6,Hoja1!$F$2:$XFD$61,AT52+4,FALSE),0)</f>
        <v/>
      </c>
      <c r="DC52">
        <f>IFERROR(VLOOKUP(DC$6,Hoja1!$F$2:$XFD$61,AU52+4,FALSE),0)</f>
        <v/>
      </c>
      <c r="DD52">
        <f>IFERROR(VLOOKUP(DD$6,Hoja1!$F$2:$XFD$61,AV52+4,FALSE),0)</f>
        <v/>
      </c>
      <c r="DE52">
        <f>IFERROR(VLOOKUP(DE$6,Hoja1!$F$2:$XFD$61,AW52+4,FALSE),0)</f>
        <v/>
      </c>
      <c r="DF52">
        <f>IFERROR(VLOOKUP(DF$6,Hoja1!$F$2:$XFD$61,AX52+4,FALSE),0)</f>
        <v/>
      </c>
      <c r="DG52">
        <f>IFERROR(VLOOKUP(DG$6,Hoja1!$F$2:$XFD$61,AY52+4,FALSE),0)</f>
        <v/>
      </c>
      <c r="DH52">
        <f>IFERROR(VLOOKUP(DH$6,Hoja1!$F$2:$XFD$61,AZ52+4,FALSE),0)</f>
        <v/>
      </c>
      <c r="DI52">
        <f>IFERROR(VLOOKUP(DI$6,Hoja1!$F$2:$XFD$61,BA52+4,FALSE),0)</f>
        <v/>
      </c>
      <c r="DJ52">
        <f>IFERROR(VLOOKUP(DJ$6,Hoja1!$F$2:$XFD$61,BB52+4,FALSE),0)</f>
        <v/>
      </c>
      <c r="DK52">
        <f>IFERROR(VLOOKUP(DK$6,Hoja1!$F$2:$XFD$61,BC52+4,FALSE),0)</f>
        <v/>
      </c>
      <c r="DL52">
        <f>IFERROR(VLOOKUP(DL$6,Hoja1!$F$2:$XFD$61,BD52+4,FALSE),0)</f>
        <v/>
      </c>
      <c r="DM52">
        <f>IFERROR(VLOOKUP(DM$6,Hoja1!$F$2:$XFD$61,BE52+4,FALSE),0)</f>
        <v/>
      </c>
      <c r="DN52">
        <f>IFERROR(VLOOKUP(DN$6,Hoja1!$F$2:$XFD$61,BF52+4,FALSE),0)</f>
        <v/>
      </c>
      <c r="DO52">
        <f>IFERROR(VLOOKUP(DO$6,Hoja1!$F$2:$XFD$61,BG52+4,FALSE),0)</f>
        <v/>
      </c>
      <c r="DP52">
        <f>IFERROR(VLOOKUP(DP$6,Hoja1!$F$2:$XFD$61,BH52+4,FALSE),0)</f>
        <v/>
      </c>
      <c r="DQ52">
        <f>IFERROR(VLOOKUP(DQ$6,Hoja1!$F$2:$XFD$61,BI52+4,FALSE),0)</f>
        <v/>
      </c>
      <c r="DR52">
        <f>IFERROR(VLOOKUP(DR$6,Hoja1!$F$2:$XFD$61,BJ52+4,FALSE),0)</f>
        <v/>
      </c>
      <c r="DS52">
        <f>IFERROR(VLOOKUP(DS$6,Hoja1!$F$2:$XFD$61,BK52+4,FALSE),0)</f>
        <v/>
      </c>
      <c r="DT52">
        <f>IFERROR(VLOOKUP(DT$6,Hoja1!$F$2:$XFD$61,BL52+4,FALSE),0)</f>
        <v/>
      </c>
      <c r="DU52" s="15">
        <f>IF(COUNT(E52:BL52)=$DV$7,IF(D52="","indique grupo",SUM(BM52:DT52)),"")</f>
        <v/>
      </c>
      <c r="DV52" s="16">
        <f>IF(D52&lt;&gt;"",IF(DU52="","",IF(DU52&gt;=$DU$7*Hoja1!$E$2,4+3/($DU$7*(1-Hoja1!$E$2))*(DU52-$DU$7*Hoja1!$E$2),1+3/($DU$7*Hoja1!$E$2)*DU52)),DU52)</f>
        <v/>
      </c>
      <c r="DW52" s="47" t="b">
        <v>0</v>
      </c>
    </row>
    <row r="53" ht="23.25" customHeight="1">
      <c r="A53" s="17" t="n">
        <v>44</v>
      </c>
      <c r="B53" s="18" t="inlineStr">
        <is>
          <t>YEVENES GUTIERREZ MARIA FERNANDA</t>
        </is>
      </c>
      <c r="C53" s="18" t="inlineStr">
        <is>
          <t>213063731</t>
        </is>
      </c>
      <c r="D53" s="1" t="n"/>
      <c r="E53" s="28" t="n"/>
      <c r="F53" s="19" t="n"/>
      <c r="G53" s="19" t="n"/>
      <c r="H53" s="19" t="n"/>
      <c r="I53" s="19" t="n"/>
      <c r="J53" s="19" t="n"/>
      <c r="K53" s="19" t="n"/>
      <c r="L53" s="19" t="n"/>
      <c r="M53" s="19" t="n"/>
      <c r="N53" s="19" t="n"/>
      <c r="O53" s="19" t="n"/>
      <c r="P53" s="19" t="n"/>
      <c r="Q53" s="19" t="n"/>
      <c r="R53" s="19" t="n"/>
      <c r="S53" s="19" t="n"/>
      <c r="T53" s="19" t="n"/>
      <c r="U53" s="19" t="n"/>
      <c r="V53" s="19" t="n"/>
      <c r="W53" s="19" t="n"/>
      <c r="X53" s="19" t="n"/>
      <c r="Y53" s="19" t="n"/>
      <c r="Z53" s="19" t="n"/>
      <c r="AA53" s="19" t="n"/>
      <c r="AB53" s="19" t="n"/>
      <c r="AC53" s="19" t="n"/>
      <c r="AD53" s="19" t="n"/>
      <c r="AE53" s="19" t="n"/>
      <c r="AF53" s="19" t="n"/>
      <c r="AG53" s="19" t="n"/>
      <c r="AH53" s="19" t="n"/>
      <c r="AI53" s="19" t="n"/>
      <c r="AJ53" s="19" t="n"/>
      <c r="AK53" s="19" t="n"/>
      <c r="AL53" s="19" t="n"/>
      <c r="AM53" s="19" t="n"/>
      <c r="AN53" s="19" t="n"/>
      <c r="AO53" s="19" t="n"/>
      <c r="AP53" s="19" t="n"/>
      <c r="AQ53" s="19" t="n"/>
      <c r="AR53" s="19" t="n"/>
      <c r="AS53" s="19" t="n"/>
      <c r="AT53" s="19" t="n"/>
      <c r="AU53" s="19" t="n"/>
      <c r="AV53" s="19" t="n"/>
      <c r="AW53" s="19" t="n"/>
      <c r="AX53" s="19" t="n"/>
      <c r="AY53" s="19" t="n"/>
      <c r="AZ53" s="19" t="n"/>
      <c r="BA53" s="19" t="n"/>
      <c r="BB53" s="19" t="n"/>
      <c r="BC53" s="19" t="n"/>
      <c r="BD53" s="19" t="n"/>
      <c r="BE53" s="19" t="n"/>
      <c r="BF53" s="19" t="n"/>
      <c r="BG53" s="19" t="n"/>
      <c r="BH53" s="19" t="n"/>
      <c r="BI53" s="19" t="n"/>
      <c r="BJ53" s="19" t="n"/>
      <c r="BK53" s="19" t="n"/>
      <c r="BL53" s="29" t="n"/>
      <c r="BM53">
        <f>IFERROR(VLOOKUP(BM$6,Hoja1!$F$2:$XFD$61,E53+4,FALSE),0)</f>
        <v/>
      </c>
      <c r="BN53">
        <f>IFERROR(VLOOKUP(BN$6,Hoja1!$F$2:$XFD$61,F53+4,FALSE),0)</f>
        <v/>
      </c>
      <c r="BO53">
        <f>IFERROR(VLOOKUP(BO$6,Hoja1!$F$2:$XFD$61,G53+4,FALSE),0)</f>
        <v/>
      </c>
      <c r="BP53">
        <f>IFERROR(VLOOKUP(BP$6,Hoja1!$F$2:$XFD$61,H53+4,FALSE),0)</f>
        <v/>
      </c>
      <c r="BQ53">
        <f>IFERROR(VLOOKUP(BQ$6,Hoja1!$F$2:$XFD$61,I53+4,FALSE),0)</f>
        <v/>
      </c>
      <c r="BR53">
        <f>IFERROR(VLOOKUP(BR$6,Hoja1!$F$2:$XFD$61,J53+4,FALSE),0)</f>
        <v/>
      </c>
      <c r="BS53">
        <f>IFERROR(VLOOKUP(BS$6,Hoja1!$F$2:$XFD$61,K53+4,FALSE),0)</f>
        <v/>
      </c>
      <c r="BT53">
        <f>IFERROR(VLOOKUP(BT$6,Hoja1!$F$2:$XFD$61,L53+4,FALSE),0)</f>
        <v/>
      </c>
      <c r="BU53">
        <f>IFERROR(VLOOKUP(BU$6,Hoja1!$F$2:$XFD$61,M53+4,FALSE),0)</f>
        <v/>
      </c>
      <c r="BV53">
        <f>IFERROR(VLOOKUP(BV$6,Hoja1!$F$2:$XFD$61,N53+4,FALSE),0)</f>
        <v/>
      </c>
      <c r="BW53">
        <f>IFERROR(VLOOKUP(BW$6,Hoja1!$F$2:$XFD$61,O53+4,FALSE),0)</f>
        <v/>
      </c>
      <c r="BX53">
        <f>IFERROR(VLOOKUP(BX$6,Hoja1!$F$2:$XFD$61,P53+4,FALSE),0)</f>
        <v/>
      </c>
      <c r="BY53">
        <f>IFERROR(VLOOKUP(BY$6,Hoja1!$F$2:$XFD$61,Q53+4,FALSE),0)</f>
        <v/>
      </c>
      <c r="BZ53">
        <f>IFERROR(VLOOKUP(BZ$6,Hoja1!$F$2:$XFD$61,R53+4,FALSE),0)</f>
        <v/>
      </c>
      <c r="CA53">
        <f>IFERROR(VLOOKUP(CA$6,Hoja1!$F$2:$XFD$61,S53+4,FALSE),0)</f>
        <v/>
      </c>
      <c r="CB53">
        <f>IFERROR(VLOOKUP(CB$6,Hoja1!$F$2:$XFD$61,T53+4,FALSE),0)</f>
        <v/>
      </c>
      <c r="CC53">
        <f>IFERROR(VLOOKUP(CC$6,Hoja1!$F$2:$XFD$61,U53+4,FALSE),0)</f>
        <v/>
      </c>
      <c r="CD53">
        <f>IFERROR(VLOOKUP(CD$6,Hoja1!$F$2:$XFD$61,V53+4,FALSE),0)</f>
        <v/>
      </c>
      <c r="CE53">
        <f>IFERROR(VLOOKUP(CE$6,Hoja1!$F$2:$XFD$61,W53+4,FALSE),0)</f>
        <v/>
      </c>
      <c r="CF53">
        <f>IFERROR(VLOOKUP(CF$6,Hoja1!$F$2:$XFD$61,X53+4,FALSE),0)</f>
        <v/>
      </c>
      <c r="CG53">
        <f>IFERROR(VLOOKUP(CG$6,Hoja1!$F$2:$XFD$61,Y53+4,FALSE),0)</f>
        <v/>
      </c>
      <c r="CH53">
        <f>IFERROR(VLOOKUP(CH$6,Hoja1!$F$2:$XFD$61,Z53+4,FALSE),0)</f>
        <v/>
      </c>
      <c r="CI53">
        <f>IFERROR(VLOOKUP(CI$6,Hoja1!$F$2:$XFD$61,AA53+4,FALSE),0)</f>
        <v/>
      </c>
      <c r="CJ53">
        <f>IFERROR(VLOOKUP(CJ$6,Hoja1!$F$2:$XFD$61,AB53+4,FALSE),0)</f>
        <v/>
      </c>
      <c r="CK53">
        <f>IFERROR(VLOOKUP(CK$6,Hoja1!$F$2:$XFD$61,AC53+4,FALSE),0)</f>
        <v/>
      </c>
      <c r="CL53">
        <f>IFERROR(VLOOKUP(CL$6,Hoja1!$F$2:$XFD$61,AD53+4,FALSE),0)</f>
        <v/>
      </c>
      <c r="CM53">
        <f>IFERROR(VLOOKUP(CM$6,Hoja1!$F$2:$XFD$61,AE53+4,FALSE),0)</f>
        <v/>
      </c>
      <c r="CN53">
        <f>IFERROR(VLOOKUP(CN$6,Hoja1!$F$2:$XFD$61,AF53+4,FALSE),0)</f>
        <v/>
      </c>
      <c r="CO53">
        <f>IFERROR(VLOOKUP(CO$6,Hoja1!$F$2:$XFD$61,AG53+4,FALSE),0)</f>
        <v/>
      </c>
      <c r="CP53">
        <f>IFERROR(VLOOKUP(CP$6,Hoja1!$F$2:$XFD$61,AH53+4,FALSE),0)</f>
        <v/>
      </c>
      <c r="CQ53">
        <f>IFERROR(VLOOKUP(CQ$6,Hoja1!$F$2:$XFD$61,AI53+4,FALSE),0)</f>
        <v/>
      </c>
      <c r="CR53">
        <f>IFERROR(VLOOKUP(CR$6,Hoja1!$F$2:$XFD$61,AJ53+4,FALSE),0)</f>
        <v/>
      </c>
      <c r="CS53">
        <f>IFERROR(VLOOKUP(CS$6,Hoja1!$F$2:$XFD$61,AK53+4,FALSE),0)</f>
        <v/>
      </c>
      <c r="CT53">
        <f>IFERROR(VLOOKUP(CT$6,Hoja1!$F$2:$XFD$61,AL53+4,FALSE),0)</f>
        <v/>
      </c>
      <c r="CU53">
        <f>IFERROR(VLOOKUP(CU$6,Hoja1!$F$2:$XFD$61,AM53+4,FALSE),0)</f>
        <v/>
      </c>
      <c r="CV53">
        <f>IFERROR(VLOOKUP(CV$6,Hoja1!$F$2:$XFD$61,AN53+4,FALSE),0)</f>
        <v/>
      </c>
      <c r="CW53">
        <f>IFERROR(VLOOKUP(CW$6,Hoja1!$F$2:$XFD$61,AO53+4,FALSE),0)</f>
        <v/>
      </c>
      <c r="CX53">
        <f>IFERROR(VLOOKUP(CX$6,Hoja1!$F$2:$XFD$61,AP53+4,FALSE),0)</f>
        <v/>
      </c>
      <c r="CY53">
        <f>IFERROR(VLOOKUP(CY$6,Hoja1!$F$2:$XFD$61,AQ53+4,FALSE),0)</f>
        <v/>
      </c>
      <c r="CZ53">
        <f>IFERROR(VLOOKUP(CZ$6,Hoja1!$F$2:$XFD$61,AR53+4,FALSE),0)</f>
        <v/>
      </c>
      <c r="DA53">
        <f>IFERROR(VLOOKUP(DA$6,Hoja1!$F$2:$XFD$61,AS53+4,FALSE),0)</f>
        <v/>
      </c>
      <c r="DB53">
        <f>IFERROR(VLOOKUP(DB$6,Hoja1!$F$2:$XFD$61,AT53+4,FALSE),0)</f>
        <v/>
      </c>
      <c r="DC53">
        <f>IFERROR(VLOOKUP(DC$6,Hoja1!$F$2:$XFD$61,AU53+4,FALSE),0)</f>
        <v/>
      </c>
      <c r="DD53">
        <f>IFERROR(VLOOKUP(DD$6,Hoja1!$F$2:$XFD$61,AV53+4,FALSE),0)</f>
        <v/>
      </c>
      <c r="DE53">
        <f>IFERROR(VLOOKUP(DE$6,Hoja1!$F$2:$XFD$61,AW53+4,FALSE),0)</f>
        <v/>
      </c>
      <c r="DF53">
        <f>IFERROR(VLOOKUP(DF$6,Hoja1!$F$2:$XFD$61,AX53+4,FALSE),0)</f>
        <v/>
      </c>
      <c r="DG53">
        <f>IFERROR(VLOOKUP(DG$6,Hoja1!$F$2:$XFD$61,AY53+4,FALSE),0)</f>
        <v/>
      </c>
      <c r="DH53">
        <f>IFERROR(VLOOKUP(DH$6,Hoja1!$F$2:$XFD$61,AZ53+4,FALSE),0)</f>
        <v/>
      </c>
      <c r="DI53">
        <f>IFERROR(VLOOKUP(DI$6,Hoja1!$F$2:$XFD$61,BA53+4,FALSE),0)</f>
        <v/>
      </c>
      <c r="DJ53">
        <f>IFERROR(VLOOKUP(DJ$6,Hoja1!$F$2:$XFD$61,BB53+4,FALSE),0)</f>
        <v/>
      </c>
      <c r="DK53">
        <f>IFERROR(VLOOKUP(DK$6,Hoja1!$F$2:$XFD$61,BC53+4,FALSE),0)</f>
        <v/>
      </c>
      <c r="DL53">
        <f>IFERROR(VLOOKUP(DL$6,Hoja1!$F$2:$XFD$61,BD53+4,FALSE),0)</f>
        <v/>
      </c>
      <c r="DM53">
        <f>IFERROR(VLOOKUP(DM$6,Hoja1!$F$2:$XFD$61,BE53+4,FALSE),0)</f>
        <v/>
      </c>
      <c r="DN53">
        <f>IFERROR(VLOOKUP(DN$6,Hoja1!$F$2:$XFD$61,BF53+4,FALSE),0)</f>
        <v/>
      </c>
      <c r="DO53">
        <f>IFERROR(VLOOKUP(DO$6,Hoja1!$F$2:$XFD$61,BG53+4,FALSE),0)</f>
        <v/>
      </c>
      <c r="DP53">
        <f>IFERROR(VLOOKUP(DP$6,Hoja1!$F$2:$XFD$61,BH53+4,FALSE),0)</f>
        <v/>
      </c>
      <c r="DQ53">
        <f>IFERROR(VLOOKUP(DQ$6,Hoja1!$F$2:$XFD$61,BI53+4,FALSE),0)</f>
        <v/>
      </c>
      <c r="DR53">
        <f>IFERROR(VLOOKUP(DR$6,Hoja1!$F$2:$XFD$61,BJ53+4,FALSE),0)</f>
        <v/>
      </c>
      <c r="DS53">
        <f>IFERROR(VLOOKUP(DS$6,Hoja1!$F$2:$XFD$61,BK53+4,FALSE),0)</f>
        <v/>
      </c>
      <c r="DT53">
        <f>IFERROR(VLOOKUP(DT$6,Hoja1!$F$2:$XFD$61,BL53+4,FALSE),0)</f>
        <v/>
      </c>
      <c r="DU53" s="15">
        <f>IF(COUNT(E53:BL53)=$DV$7,IF(D53="","indique grupo",SUM(BM53:DT53)),"")</f>
        <v/>
      </c>
      <c r="DV53" s="16">
        <f>IF(D53&lt;&gt;"",IF(DU53="","",IF(DU53&gt;=$DU$7*Hoja1!$E$2,4+3/($DU$7*(1-Hoja1!$E$2))*(DU53-$DU$7*Hoja1!$E$2),1+3/($DU$7*Hoja1!$E$2)*DU53)),DU53)</f>
        <v/>
      </c>
      <c r="DW53" s="47" t="b">
        <v>0</v>
      </c>
    </row>
    <row r="54" ht="23.25" customHeight="1">
      <c r="A54" s="17" t="n">
        <v>45</v>
      </c>
      <c r="B54" s="18" t="inlineStr">
        <is>
          <t>ZUNIGA MEJIAS GIOVANNI NICOLO</t>
        </is>
      </c>
      <c r="C54" s="18" t="inlineStr">
        <is>
          <t>212608955</t>
        </is>
      </c>
      <c r="D54" s="1" t="n"/>
      <c r="E54" s="28" t="n"/>
      <c r="F54" s="19" t="n"/>
      <c r="G54" s="19" t="n"/>
      <c r="H54" s="19" t="n"/>
      <c r="I54" s="19" t="n"/>
      <c r="J54" s="19" t="n"/>
      <c r="K54" s="19" t="n"/>
      <c r="L54" s="19" t="n"/>
      <c r="M54" s="19" t="n"/>
      <c r="N54" s="19" t="n"/>
      <c r="O54" s="19" t="n"/>
      <c r="P54" s="19" t="n"/>
      <c r="Q54" s="19" t="n"/>
      <c r="R54" s="19" t="n"/>
      <c r="S54" s="19" t="n"/>
      <c r="T54" s="19" t="n"/>
      <c r="U54" s="19" t="n"/>
      <c r="V54" s="19" t="n"/>
      <c r="W54" s="19" t="n"/>
      <c r="X54" s="19" t="n"/>
      <c r="Y54" s="19" t="n"/>
      <c r="Z54" s="19" t="n"/>
      <c r="AA54" s="19" t="n"/>
      <c r="AB54" s="19" t="n"/>
      <c r="AC54" s="19" t="n"/>
      <c r="AD54" s="19" t="n"/>
      <c r="AE54" s="19" t="n"/>
      <c r="AF54" s="19" t="n"/>
      <c r="AG54" s="19" t="n"/>
      <c r="AH54" s="19" t="n"/>
      <c r="AI54" s="19" t="n"/>
      <c r="AJ54" s="19" t="n"/>
      <c r="AK54" s="19" t="n"/>
      <c r="AL54" s="19" t="n"/>
      <c r="AM54" s="19" t="n"/>
      <c r="AN54" s="19" t="n"/>
      <c r="AO54" s="19" t="n"/>
      <c r="AP54" s="19" t="n"/>
      <c r="AQ54" s="19" t="n"/>
      <c r="AR54" s="19" t="n"/>
      <c r="AS54" s="19" t="n"/>
      <c r="AT54" s="19" t="n"/>
      <c r="AU54" s="19" t="n"/>
      <c r="AV54" s="19" t="n"/>
      <c r="AW54" s="19" t="n"/>
      <c r="AX54" s="19" t="n"/>
      <c r="AY54" s="19" t="n"/>
      <c r="AZ54" s="19" t="n"/>
      <c r="BA54" s="19" t="n"/>
      <c r="BB54" s="19" t="n"/>
      <c r="BC54" s="19" t="n"/>
      <c r="BD54" s="19" t="n"/>
      <c r="BE54" s="19" t="n"/>
      <c r="BF54" s="19" t="n"/>
      <c r="BG54" s="19" t="n"/>
      <c r="BH54" s="19" t="n"/>
      <c r="BI54" s="19" t="n"/>
      <c r="BJ54" s="19" t="n"/>
      <c r="BK54" s="19" t="n"/>
      <c r="BL54" s="29" t="n"/>
      <c r="BM54">
        <f>IFERROR(VLOOKUP(BM$6,Hoja1!$F$2:$XFD$61,E54+4,FALSE),0)</f>
        <v/>
      </c>
      <c r="BN54">
        <f>IFERROR(VLOOKUP(BN$6,Hoja1!$F$2:$XFD$61,F54+4,FALSE),0)</f>
        <v/>
      </c>
      <c r="BO54">
        <f>IFERROR(VLOOKUP(BO$6,Hoja1!$F$2:$XFD$61,G54+4,FALSE),0)</f>
        <v/>
      </c>
      <c r="BP54">
        <f>IFERROR(VLOOKUP(BP$6,Hoja1!$F$2:$XFD$61,H54+4,FALSE),0)</f>
        <v/>
      </c>
      <c r="BQ54">
        <f>IFERROR(VLOOKUP(BQ$6,Hoja1!$F$2:$XFD$61,I54+4,FALSE),0)</f>
        <v/>
      </c>
      <c r="BR54">
        <f>IFERROR(VLOOKUP(BR$6,Hoja1!$F$2:$XFD$61,J54+4,FALSE),0)</f>
        <v/>
      </c>
      <c r="BS54">
        <f>IFERROR(VLOOKUP(BS$6,Hoja1!$F$2:$XFD$61,K54+4,FALSE),0)</f>
        <v/>
      </c>
      <c r="BT54">
        <f>IFERROR(VLOOKUP(BT$6,Hoja1!$F$2:$XFD$61,L54+4,FALSE),0)</f>
        <v/>
      </c>
      <c r="BU54">
        <f>IFERROR(VLOOKUP(BU$6,Hoja1!$F$2:$XFD$61,M54+4,FALSE),0)</f>
        <v/>
      </c>
      <c r="BV54">
        <f>IFERROR(VLOOKUP(BV$6,Hoja1!$F$2:$XFD$61,N54+4,FALSE),0)</f>
        <v/>
      </c>
      <c r="BW54">
        <f>IFERROR(VLOOKUP(BW$6,Hoja1!$F$2:$XFD$61,O54+4,FALSE),0)</f>
        <v/>
      </c>
      <c r="BX54">
        <f>IFERROR(VLOOKUP(BX$6,Hoja1!$F$2:$XFD$61,P54+4,FALSE),0)</f>
        <v/>
      </c>
      <c r="BY54">
        <f>IFERROR(VLOOKUP(BY$6,Hoja1!$F$2:$XFD$61,Q54+4,FALSE),0)</f>
        <v/>
      </c>
      <c r="BZ54">
        <f>IFERROR(VLOOKUP(BZ$6,Hoja1!$F$2:$XFD$61,R54+4,FALSE),0)</f>
        <v/>
      </c>
      <c r="CA54">
        <f>IFERROR(VLOOKUP(CA$6,Hoja1!$F$2:$XFD$61,S54+4,FALSE),0)</f>
        <v/>
      </c>
      <c r="CB54">
        <f>IFERROR(VLOOKUP(CB$6,Hoja1!$F$2:$XFD$61,T54+4,FALSE),0)</f>
        <v/>
      </c>
      <c r="CC54">
        <f>IFERROR(VLOOKUP(CC$6,Hoja1!$F$2:$XFD$61,U54+4,FALSE),0)</f>
        <v/>
      </c>
      <c r="CD54">
        <f>IFERROR(VLOOKUP(CD$6,Hoja1!$F$2:$XFD$61,V54+4,FALSE),0)</f>
        <v/>
      </c>
      <c r="CE54">
        <f>IFERROR(VLOOKUP(CE$6,Hoja1!$F$2:$XFD$61,W54+4,FALSE),0)</f>
        <v/>
      </c>
      <c r="CF54">
        <f>IFERROR(VLOOKUP(CF$6,Hoja1!$F$2:$XFD$61,X54+4,FALSE),0)</f>
        <v/>
      </c>
      <c r="CG54">
        <f>IFERROR(VLOOKUP(CG$6,Hoja1!$F$2:$XFD$61,Y54+4,FALSE),0)</f>
        <v/>
      </c>
      <c r="CH54">
        <f>IFERROR(VLOOKUP(CH$6,Hoja1!$F$2:$XFD$61,Z54+4,FALSE),0)</f>
        <v/>
      </c>
      <c r="CI54">
        <f>IFERROR(VLOOKUP(CI$6,Hoja1!$F$2:$XFD$61,AA54+4,FALSE),0)</f>
        <v/>
      </c>
      <c r="CJ54">
        <f>IFERROR(VLOOKUP(CJ$6,Hoja1!$F$2:$XFD$61,AB54+4,FALSE),0)</f>
        <v/>
      </c>
      <c r="CK54">
        <f>IFERROR(VLOOKUP(CK$6,Hoja1!$F$2:$XFD$61,AC54+4,FALSE),0)</f>
        <v/>
      </c>
      <c r="CL54">
        <f>IFERROR(VLOOKUP(CL$6,Hoja1!$F$2:$XFD$61,AD54+4,FALSE),0)</f>
        <v/>
      </c>
      <c r="CM54">
        <f>IFERROR(VLOOKUP(CM$6,Hoja1!$F$2:$XFD$61,AE54+4,FALSE),0)</f>
        <v/>
      </c>
      <c r="CN54">
        <f>IFERROR(VLOOKUP(CN$6,Hoja1!$F$2:$XFD$61,AF54+4,FALSE),0)</f>
        <v/>
      </c>
      <c r="CO54">
        <f>IFERROR(VLOOKUP(CO$6,Hoja1!$F$2:$XFD$61,AG54+4,FALSE),0)</f>
        <v/>
      </c>
      <c r="CP54">
        <f>IFERROR(VLOOKUP(CP$6,Hoja1!$F$2:$XFD$61,AH54+4,FALSE),0)</f>
        <v/>
      </c>
      <c r="CQ54">
        <f>IFERROR(VLOOKUP(CQ$6,Hoja1!$F$2:$XFD$61,AI54+4,FALSE),0)</f>
        <v/>
      </c>
      <c r="CR54">
        <f>IFERROR(VLOOKUP(CR$6,Hoja1!$F$2:$XFD$61,AJ54+4,FALSE),0)</f>
        <v/>
      </c>
      <c r="CS54">
        <f>IFERROR(VLOOKUP(CS$6,Hoja1!$F$2:$XFD$61,AK54+4,FALSE),0)</f>
        <v/>
      </c>
      <c r="CT54">
        <f>IFERROR(VLOOKUP(CT$6,Hoja1!$F$2:$XFD$61,AL54+4,FALSE),0)</f>
        <v/>
      </c>
      <c r="CU54">
        <f>IFERROR(VLOOKUP(CU$6,Hoja1!$F$2:$XFD$61,AM54+4,FALSE),0)</f>
        <v/>
      </c>
      <c r="CV54">
        <f>IFERROR(VLOOKUP(CV$6,Hoja1!$F$2:$XFD$61,AN54+4,FALSE),0)</f>
        <v/>
      </c>
      <c r="CW54">
        <f>IFERROR(VLOOKUP(CW$6,Hoja1!$F$2:$XFD$61,AO54+4,FALSE),0)</f>
        <v/>
      </c>
      <c r="CX54">
        <f>IFERROR(VLOOKUP(CX$6,Hoja1!$F$2:$XFD$61,AP54+4,FALSE),0)</f>
        <v/>
      </c>
      <c r="CY54">
        <f>IFERROR(VLOOKUP(CY$6,Hoja1!$F$2:$XFD$61,AQ54+4,FALSE),0)</f>
        <v/>
      </c>
      <c r="CZ54">
        <f>IFERROR(VLOOKUP(CZ$6,Hoja1!$F$2:$XFD$61,AR54+4,FALSE),0)</f>
        <v/>
      </c>
      <c r="DA54">
        <f>IFERROR(VLOOKUP(DA$6,Hoja1!$F$2:$XFD$61,AS54+4,FALSE),0)</f>
        <v/>
      </c>
      <c r="DB54">
        <f>IFERROR(VLOOKUP(DB$6,Hoja1!$F$2:$XFD$61,AT54+4,FALSE),0)</f>
        <v/>
      </c>
      <c r="DC54">
        <f>IFERROR(VLOOKUP(DC$6,Hoja1!$F$2:$XFD$61,AU54+4,FALSE),0)</f>
        <v/>
      </c>
      <c r="DD54">
        <f>IFERROR(VLOOKUP(DD$6,Hoja1!$F$2:$XFD$61,AV54+4,FALSE),0)</f>
        <v/>
      </c>
      <c r="DE54">
        <f>IFERROR(VLOOKUP(DE$6,Hoja1!$F$2:$XFD$61,AW54+4,FALSE),0)</f>
        <v/>
      </c>
      <c r="DF54">
        <f>IFERROR(VLOOKUP(DF$6,Hoja1!$F$2:$XFD$61,AX54+4,FALSE),0)</f>
        <v/>
      </c>
      <c r="DG54">
        <f>IFERROR(VLOOKUP(DG$6,Hoja1!$F$2:$XFD$61,AY54+4,FALSE),0)</f>
        <v/>
      </c>
      <c r="DH54">
        <f>IFERROR(VLOOKUP(DH$6,Hoja1!$F$2:$XFD$61,AZ54+4,FALSE),0)</f>
        <v/>
      </c>
      <c r="DI54">
        <f>IFERROR(VLOOKUP(DI$6,Hoja1!$F$2:$XFD$61,BA54+4,FALSE),0)</f>
        <v/>
      </c>
      <c r="DJ54">
        <f>IFERROR(VLOOKUP(DJ$6,Hoja1!$F$2:$XFD$61,BB54+4,FALSE),0)</f>
        <v/>
      </c>
      <c r="DK54">
        <f>IFERROR(VLOOKUP(DK$6,Hoja1!$F$2:$XFD$61,BC54+4,FALSE),0)</f>
        <v/>
      </c>
      <c r="DL54">
        <f>IFERROR(VLOOKUP(DL$6,Hoja1!$F$2:$XFD$61,BD54+4,FALSE),0)</f>
        <v/>
      </c>
      <c r="DM54">
        <f>IFERROR(VLOOKUP(DM$6,Hoja1!$F$2:$XFD$61,BE54+4,FALSE),0)</f>
        <v/>
      </c>
      <c r="DN54">
        <f>IFERROR(VLOOKUP(DN$6,Hoja1!$F$2:$XFD$61,BF54+4,FALSE),0)</f>
        <v/>
      </c>
      <c r="DO54">
        <f>IFERROR(VLOOKUP(DO$6,Hoja1!$F$2:$XFD$61,BG54+4,FALSE),0)</f>
        <v/>
      </c>
      <c r="DP54">
        <f>IFERROR(VLOOKUP(DP$6,Hoja1!$F$2:$XFD$61,BH54+4,FALSE),0)</f>
        <v/>
      </c>
      <c r="DQ54">
        <f>IFERROR(VLOOKUP(DQ$6,Hoja1!$F$2:$XFD$61,BI54+4,FALSE),0)</f>
        <v/>
      </c>
      <c r="DR54">
        <f>IFERROR(VLOOKUP(DR$6,Hoja1!$F$2:$XFD$61,BJ54+4,FALSE),0)</f>
        <v/>
      </c>
      <c r="DS54">
        <f>IFERROR(VLOOKUP(DS$6,Hoja1!$F$2:$XFD$61,BK54+4,FALSE),0)</f>
        <v/>
      </c>
      <c r="DT54">
        <f>IFERROR(VLOOKUP(DT$6,Hoja1!$F$2:$XFD$61,BL54+4,FALSE),0)</f>
        <v/>
      </c>
      <c r="DU54" s="15">
        <f>IF(COUNT(E54:BL54)=$DV$7,IF(D54="","indique grupo",SUM(BM54:DT54)),"")</f>
        <v/>
      </c>
      <c r="DV54" s="16">
        <f>IF(D54&lt;&gt;"",IF(DU54="","",IF(DU54&gt;=$DU$7*Hoja1!$E$2,4+3/($DU$7*(1-Hoja1!$E$2))*(DU54-$DU$7*Hoja1!$E$2),1+3/($DU$7*Hoja1!$E$2)*DU54)),DU54)</f>
        <v/>
      </c>
      <c r="DW54" s="47" t="b">
        <v>0</v>
      </c>
    </row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2024-05-03T14:05:29Z</dcterms:modified>
  <cp:lastModifiedBy>Leandro Gutierrez A.</cp:lastModifiedBy>
  <cp:lastPrinted>2012-11-30T22:55:58Z</cp:lastPrinted>
</cp:coreProperties>
</file>