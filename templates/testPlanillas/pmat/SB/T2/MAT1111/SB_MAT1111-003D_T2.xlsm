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9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AGUILERA SALAZAR SAIMON ALBERTO</t>
        </is>
      </c>
      <c r="C10" s="14" t="inlineStr">
        <is>
          <t>22080982K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ALVAREZ MADARIAGA JOSTIN SEBASTIAN</t>
        </is>
      </c>
      <c r="C11" s="18" t="inlineStr">
        <is>
          <t>215631753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ARANDA CALFUMIL MIGUEL ANTONIO</t>
        </is>
      </c>
      <c r="C12" s="14" t="inlineStr">
        <is>
          <t>220058735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ARCE CORRALES MATIAS</t>
        </is>
      </c>
      <c r="C13" s="18" t="inlineStr">
        <is>
          <t>217185750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AVILA ESPINOZA BASTIAN</t>
        </is>
      </c>
      <c r="C14" s="14" t="inlineStr">
        <is>
          <t>210883827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BEROITZA VALENZUELA GISSELLE ANDREA</t>
        </is>
      </c>
      <c r="C15" s="14" t="inlineStr">
        <is>
          <t>197844264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CACERES PARRA ALHAN RODRIGO</t>
        </is>
      </c>
      <c r="C16" s="18" t="inlineStr">
        <is>
          <t>218757537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CACERES ROJAS NATALY VALENTINA</t>
        </is>
      </c>
      <c r="C17" s="14" t="inlineStr">
        <is>
          <t>219498896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CARRIL GARRIDO VALENTINA</t>
        </is>
      </c>
      <c r="C18" s="14" t="inlineStr">
        <is>
          <t>220282821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CASTILLO PALMA KEVIN</t>
        </is>
      </c>
      <c r="C19" s="18" t="inlineStr">
        <is>
          <t>205757805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CELIS NAVARRO PAULINA DEL PILAR</t>
        </is>
      </c>
      <c r="C20" s="18" t="inlineStr">
        <is>
          <t>196046119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CHAPARRO DURAN MAURA CECILIA</t>
        </is>
      </c>
      <c r="C21" s="18" t="inlineStr">
        <is>
          <t>213898035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CIFUENTES SOTO MANUELA ALMENDRA</t>
        </is>
      </c>
      <c r="C22" s="18" t="inlineStr">
        <is>
          <t>217705193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DIAZ ORTIZ JEIMMY ESTEFANIA</t>
        </is>
      </c>
      <c r="C23" s="18" t="inlineStr">
        <is>
          <t>217125030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FLORES ESPINOZA ALLISON ANTONIA</t>
        </is>
      </c>
      <c r="C24" s="18" t="inlineStr">
        <is>
          <t>220232832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GAETE ORELLANA JAVIERA MONSERRATT</t>
        </is>
      </c>
      <c r="C25" s="18" t="inlineStr">
        <is>
          <t>218568750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GARRIDO ROBLES ISMAEL BERNABE ALEJANDRO</t>
        </is>
      </c>
      <c r="C26" s="18" t="inlineStr">
        <is>
          <t>210292365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HENRIQUEZ GONZALEZ IGNACIO ANDRES</t>
        </is>
      </c>
      <c r="C27" s="18" t="inlineStr">
        <is>
          <t>211969903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HERNANDEZ DUARTE NATALIA MARIBEL</t>
        </is>
      </c>
      <c r="C28" s="18" t="inlineStr">
        <is>
          <t>218702449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JARA PROBOSTE MICHAEL SEGUNDO</t>
        </is>
      </c>
      <c r="C29" s="18" t="inlineStr">
        <is>
          <t>202582605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JIMENEZ PEREZ SEBASTIAN IGNACIO</t>
        </is>
      </c>
      <c r="C30" s="18" t="inlineStr">
        <is>
          <t>218197167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LATORRE ROJAS BENJAMIN JESUS</t>
        </is>
      </c>
      <c r="C31" s="18" t="inlineStr">
        <is>
          <t>217197619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MADARIAGA SUAREZ ESPERANZA CELINDA</t>
        </is>
      </c>
      <c r="C32" s="18" t="inlineStr">
        <is>
          <t>218638635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MARTINEZ GARCIA YERELL ALEJANDRO</t>
        </is>
      </c>
      <c r="C33" s="18" t="inlineStr">
        <is>
          <t>18777134K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MELLA VEGA EMANUEL ALEXIS</t>
        </is>
      </c>
      <c r="C34" s="18" t="inlineStr">
        <is>
          <t>214817209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MENDOZA DIAZ ISIDORA</t>
        </is>
      </c>
      <c r="C35" s="18" t="inlineStr">
        <is>
          <t>218969941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MONTECINOS CAMPOS NICOLAS ALEJANDRO</t>
        </is>
      </c>
      <c r="C36" s="18" t="inlineStr">
        <is>
          <t>219382758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MORALES SANDOVAL JAVIERA ESTER YUSALEEN</t>
        </is>
      </c>
      <c r="C37" s="18" t="inlineStr">
        <is>
          <t>220602850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MORENO ANTUNEZ BENJAMIN DANIEL ANDRES</t>
        </is>
      </c>
      <c r="C38" s="18" t="inlineStr">
        <is>
          <t>213542672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NAVARRETE MADRID OCTAVIO</t>
        </is>
      </c>
      <c r="C39" s="18" t="inlineStr">
        <is>
          <t>21617643K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NUNANS SOTO WILLIAMS IGNACIO</t>
        </is>
      </c>
      <c r="C40" s="18" t="inlineStr">
        <is>
          <t>220044386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OVANDO SEPULVEDA MARTIN IGNACIO</t>
        </is>
      </c>
      <c r="C41" s="18" t="inlineStr">
        <is>
          <t>221194268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PEREZ ESTAY DANIELA FERNANDA</t>
        </is>
      </c>
      <c r="C42" s="18" t="inlineStr">
        <is>
          <t>216878078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REYES GARRIDO ANTONELLA JAZMIN</t>
        </is>
      </c>
      <c r="C43" s="18" t="inlineStr">
        <is>
          <t>21929607K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SOLANO GONZALEZ YESSENIA YASMIN</t>
        </is>
      </c>
      <c r="C44" s="18" t="inlineStr">
        <is>
          <t>219308108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VALDES NUNEZ JAVIERA ALEJANDRA</t>
        </is>
      </c>
      <c r="C45" s="18" t="inlineStr">
        <is>
          <t>193887937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VALLE ZAMBRANO SEBASTIAN IGNACIO</t>
        </is>
      </c>
      <c r="C46" s="18" t="inlineStr">
        <is>
          <t>220700658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>
      <c r="A47" s="17" t="n">
        <v>38</v>
      </c>
      <c r="B47" s="18" t="inlineStr">
        <is>
          <t>VARAS GONZALEZ JACQUELINE</t>
        </is>
      </c>
      <c r="C47" s="18" t="inlineStr">
        <is>
          <t>207135569</t>
        </is>
      </c>
      <c r="D47" s="1" t="n"/>
      <c r="E47" s="28" t="n"/>
      <c r="F47" s="19" t="n"/>
      <c r="G47" s="19" t="n"/>
      <c r="H47" s="19" t="n"/>
      <c r="I47" s="19" t="n"/>
      <c r="J47" s="19" t="n"/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  <c r="X47" s="19" t="n"/>
      <c r="Y47" s="19" t="n"/>
      <c r="Z47" s="19" t="n"/>
      <c r="AA47" s="19" t="n"/>
      <c r="AB47" s="19" t="n"/>
      <c r="AC47" s="19" t="n"/>
      <c r="AD47" s="19" t="n"/>
      <c r="AE47" s="19" t="n"/>
      <c r="AF47" s="19" t="n"/>
      <c r="AG47" s="19" t="n"/>
      <c r="AH47" s="19" t="n"/>
      <c r="AI47" s="19" t="n"/>
      <c r="AJ47" s="19" t="n"/>
      <c r="AK47" s="19" t="n"/>
      <c r="AL47" s="19" t="n"/>
      <c r="AM47" s="19" t="n"/>
      <c r="AN47" s="19" t="n"/>
      <c r="AO47" s="19" t="n"/>
      <c r="AP47" s="19" t="n"/>
      <c r="AQ47" s="19" t="n"/>
      <c r="AR47" s="19" t="n"/>
      <c r="AS47" s="19" t="n"/>
      <c r="AT47" s="19" t="n"/>
      <c r="AU47" s="19" t="n"/>
      <c r="AV47" s="19" t="n"/>
      <c r="AW47" s="19" t="n"/>
      <c r="AX47" s="19" t="n"/>
      <c r="AY47" s="19" t="n"/>
      <c r="AZ47" s="19" t="n"/>
      <c r="BA47" s="19" t="n"/>
      <c r="BB47" s="19" t="n"/>
      <c r="BC47" s="19" t="n"/>
      <c r="BD47" s="19" t="n"/>
      <c r="BE47" s="19" t="n"/>
      <c r="BF47" s="19" t="n"/>
      <c r="BG47" s="19" t="n"/>
      <c r="BH47" s="19" t="n"/>
      <c r="BI47" s="19" t="n"/>
      <c r="BJ47" s="19" t="n"/>
      <c r="BK47" s="19" t="n"/>
      <c r="BL47" s="29" t="n"/>
      <c r="BM47">
        <f>IFERROR(VLOOKUP(BM$6,Hoja1!$F$2:$XFD$61,E47+4,FALSE),0)</f>
        <v/>
      </c>
      <c r="BN47">
        <f>IFERROR(VLOOKUP(BN$6,Hoja1!$F$2:$XFD$61,F47+4,FALSE),0)</f>
        <v/>
      </c>
      <c r="BO47">
        <f>IFERROR(VLOOKUP(BO$6,Hoja1!$F$2:$XFD$61,G47+4,FALSE),0)</f>
        <v/>
      </c>
      <c r="BP47">
        <f>IFERROR(VLOOKUP(BP$6,Hoja1!$F$2:$XFD$61,H47+4,FALSE),0)</f>
        <v/>
      </c>
      <c r="BQ47">
        <f>IFERROR(VLOOKUP(BQ$6,Hoja1!$F$2:$XFD$61,I47+4,FALSE),0)</f>
        <v/>
      </c>
      <c r="BR47">
        <f>IFERROR(VLOOKUP(BR$6,Hoja1!$F$2:$XFD$61,J47+4,FALSE),0)</f>
        <v/>
      </c>
      <c r="BS47">
        <f>IFERROR(VLOOKUP(BS$6,Hoja1!$F$2:$XFD$61,K47+4,FALSE),0)</f>
        <v/>
      </c>
      <c r="BT47">
        <f>IFERROR(VLOOKUP(BT$6,Hoja1!$F$2:$XFD$61,L47+4,FALSE),0)</f>
        <v/>
      </c>
      <c r="BU47">
        <f>IFERROR(VLOOKUP(BU$6,Hoja1!$F$2:$XFD$61,M47+4,FALSE),0)</f>
        <v/>
      </c>
      <c r="BV47">
        <f>IFERROR(VLOOKUP(BV$6,Hoja1!$F$2:$XFD$61,N47+4,FALSE),0)</f>
        <v/>
      </c>
      <c r="BW47">
        <f>IFERROR(VLOOKUP(BW$6,Hoja1!$F$2:$XFD$61,O47+4,FALSE),0)</f>
        <v/>
      </c>
      <c r="BX47">
        <f>IFERROR(VLOOKUP(BX$6,Hoja1!$F$2:$XFD$61,P47+4,FALSE),0)</f>
        <v/>
      </c>
      <c r="BY47">
        <f>IFERROR(VLOOKUP(BY$6,Hoja1!$F$2:$XFD$61,Q47+4,FALSE),0)</f>
        <v/>
      </c>
      <c r="BZ47">
        <f>IFERROR(VLOOKUP(BZ$6,Hoja1!$F$2:$XFD$61,R47+4,FALSE),0)</f>
        <v/>
      </c>
      <c r="CA47">
        <f>IFERROR(VLOOKUP(CA$6,Hoja1!$F$2:$XFD$61,S47+4,FALSE),0)</f>
        <v/>
      </c>
      <c r="CB47">
        <f>IFERROR(VLOOKUP(CB$6,Hoja1!$F$2:$XFD$61,T47+4,FALSE),0)</f>
        <v/>
      </c>
      <c r="CC47">
        <f>IFERROR(VLOOKUP(CC$6,Hoja1!$F$2:$XFD$61,U47+4,FALSE),0)</f>
        <v/>
      </c>
      <c r="CD47">
        <f>IFERROR(VLOOKUP(CD$6,Hoja1!$F$2:$XFD$61,V47+4,FALSE),0)</f>
        <v/>
      </c>
      <c r="CE47">
        <f>IFERROR(VLOOKUP(CE$6,Hoja1!$F$2:$XFD$61,W47+4,FALSE),0)</f>
        <v/>
      </c>
      <c r="CF47">
        <f>IFERROR(VLOOKUP(CF$6,Hoja1!$F$2:$XFD$61,X47+4,FALSE),0)</f>
        <v/>
      </c>
      <c r="CG47">
        <f>IFERROR(VLOOKUP(CG$6,Hoja1!$F$2:$XFD$61,Y47+4,FALSE),0)</f>
        <v/>
      </c>
      <c r="CH47">
        <f>IFERROR(VLOOKUP(CH$6,Hoja1!$F$2:$XFD$61,Z47+4,FALSE),0)</f>
        <v/>
      </c>
      <c r="CI47">
        <f>IFERROR(VLOOKUP(CI$6,Hoja1!$F$2:$XFD$61,AA47+4,FALSE),0)</f>
        <v/>
      </c>
      <c r="CJ47">
        <f>IFERROR(VLOOKUP(CJ$6,Hoja1!$F$2:$XFD$61,AB47+4,FALSE),0)</f>
        <v/>
      </c>
      <c r="CK47">
        <f>IFERROR(VLOOKUP(CK$6,Hoja1!$F$2:$XFD$61,AC47+4,FALSE),0)</f>
        <v/>
      </c>
      <c r="CL47">
        <f>IFERROR(VLOOKUP(CL$6,Hoja1!$F$2:$XFD$61,AD47+4,FALSE),0)</f>
        <v/>
      </c>
      <c r="CM47">
        <f>IFERROR(VLOOKUP(CM$6,Hoja1!$F$2:$XFD$61,AE47+4,FALSE),0)</f>
        <v/>
      </c>
      <c r="CN47">
        <f>IFERROR(VLOOKUP(CN$6,Hoja1!$F$2:$XFD$61,AF47+4,FALSE),0)</f>
        <v/>
      </c>
      <c r="CO47">
        <f>IFERROR(VLOOKUP(CO$6,Hoja1!$F$2:$XFD$61,AG47+4,FALSE),0)</f>
        <v/>
      </c>
      <c r="CP47">
        <f>IFERROR(VLOOKUP(CP$6,Hoja1!$F$2:$XFD$61,AH47+4,FALSE),0)</f>
        <v/>
      </c>
      <c r="CQ47">
        <f>IFERROR(VLOOKUP(CQ$6,Hoja1!$F$2:$XFD$61,AI47+4,FALSE),0)</f>
        <v/>
      </c>
      <c r="CR47">
        <f>IFERROR(VLOOKUP(CR$6,Hoja1!$F$2:$XFD$61,AJ47+4,FALSE),0)</f>
        <v/>
      </c>
      <c r="CS47">
        <f>IFERROR(VLOOKUP(CS$6,Hoja1!$F$2:$XFD$61,AK47+4,FALSE),0)</f>
        <v/>
      </c>
      <c r="CT47">
        <f>IFERROR(VLOOKUP(CT$6,Hoja1!$F$2:$XFD$61,AL47+4,FALSE),0)</f>
        <v/>
      </c>
      <c r="CU47">
        <f>IFERROR(VLOOKUP(CU$6,Hoja1!$F$2:$XFD$61,AM47+4,FALSE),0)</f>
        <v/>
      </c>
      <c r="CV47">
        <f>IFERROR(VLOOKUP(CV$6,Hoja1!$F$2:$XFD$61,AN47+4,FALSE),0)</f>
        <v/>
      </c>
      <c r="CW47">
        <f>IFERROR(VLOOKUP(CW$6,Hoja1!$F$2:$XFD$61,AO47+4,FALSE),0)</f>
        <v/>
      </c>
      <c r="CX47">
        <f>IFERROR(VLOOKUP(CX$6,Hoja1!$F$2:$XFD$61,AP47+4,FALSE),0)</f>
        <v/>
      </c>
      <c r="CY47">
        <f>IFERROR(VLOOKUP(CY$6,Hoja1!$F$2:$XFD$61,AQ47+4,FALSE),0)</f>
        <v/>
      </c>
      <c r="CZ47">
        <f>IFERROR(VLOOKUP(CZ$6,Hoja1!$F$2:$XFD$61,AR47+4,FALSE),0)</f>
        <v/>
      </c>
      <c r="DA47">
        <f>IFERROR(VLOOKUP(DA$6,Hoja1!$F$2:$XFD$61,AS47+4,FALSE),0)</f>
        <v/>
      </c>
      <c r="DB47">
        <f>IFERROR(VLOOKUP(DB$6,Hoja1!$F$2:$XFD$61,AT47+4,FALSE),0)</f>
        <v/>
      </c>
      <c r="DC47">
        <f>IFERROR(VLOOKUP(DC$6,Hoja1!$F$2:$XFD$61,AU47+4,FALSE),0)</f>
        <v/>
      </c>
      <c r="DD47">
        <f>IFERROR(VLOOKUP(DD$6,Hoja1!$F$2:$XFD$61,AV47+4,FALSE),0)</f>
        <v/>
      </c>
      <c r="DE47">
        <f>IFERROR(VLOOKUP(DE$6,Hoja1!$F$2:$XFD$61,AW47+4,FALSE),0)</f>
        <v/>
      </c>
      <c r="DF47">
        <f>IFERROR(VLOOKUP(DF$6,Hoja1!$F$2:$XFD$61,AX47+4,FALSE),0)</f>
        <v/>
      </c>
      <c r="DG47">
        <f>IFERROR(VLOOKUP(DG$6,Hoja1!$F$2:$XFD$61,AY47+4,FALSE),0)</f>
        <v/>
      </c>
      <c r="DH47">
        <f>IFERROR(VLOOKUP(DH$6,Hoja1!$F$2:$XFD$61,AZ47+4,FALSE),0)</f>
        <v/>
      </c>
      <c r="DI47">
        <f>IFERROR(VLOOKUP(DI$6,Hoja1!$F$2:$XFD$61,BA47+4,FALSE),0)</f>
        <v/>
      </c>
      <c r="DJ47">
        <f>IFERROR(VLOOKUP(DJ$6,Hoja1!$F$2:$XFD$61,BB47+4,FALSE),0)</f>
        <v/>
      </c>
      <c r="DK47">
        <f>IFERROR(VLOOKUP(DK$6,Hoja1!$F$2:$XFD$61,BC47+4,FALSE),0)</f>
        <v/>
      </c>
      <c r="DL47">
        <f>IFERROR(VLOOKUP(DL$6,Hoja1!$F$2:$XFD$61,BD47+4,FALSE),0)</f>
        <v/>
      </c>
      <c r="DM47">
        <f>IFERROR(VLOOKUP(DM$6,Hoja1!$F$2:$XFD$61,BE47+4,FALSE),0)</f>
        <v/>
      </c>
      <c r="DN47">
        <f>IFERROR(VLOOKUP(DN$6,Hoja1!$F$2:$XFD$61,BF47+4,FALSE),0)</f>
        <v/>
      </c>
      <c r="DO47">
        <f>IFERROR(VLOOKUP(DO$6,Hoja1!$F$2:$XFD$61,BG47+4,FALSE),0)</f>
        <v/>
      </c>
      <c r="DP47">
        <f>IFERROR(VLOOKUP(DP$6,Hoja1!$F$2:$XFD$61,BH47+4,FALSE),0)</f>
        <v/>
      </c>
      <c r="DQ47">
        <f>IFERROR(VLOOKUP(DQ$6,Hoja1!$F$2:$XFD$61,BI47+4,FALSE),0)</f>
        <v/>
      </c>
      <c r="DR47">
        <f>IFERROR(VLOOKUP(DR$6,Hoja1!$F$2:$XFD$61,BJ47+4,FALSE),0)</f>
        <v/>
      </c>
      <c r="DS47">
        <f>IFERROR(VLOOKUP(DS$6,Hoja1!$F$2:$XFD$61,BK47+4,FALSE),0)</f>
        <v/>
      </c>
      <c r="DT47">
        <f>IFERROR(VLOOKUP(DT$6,Hoja1!$F$2:$XFD$61,BL47+4,FALSE),0)</f>
        <v/>
      </c>
      <c r="DU47" s="15">
        <f>IF(COUNT(E47:BL47)=$DV$7,IF(D47="","indique grupo",SUM(BM47:DT47)),"")</f>
        <v/>
      </c>
      <c r="DV47" s="16">
        <f>IF(D47&lt;&gt;"",IF(DU47="","",IF(DU47&gt;=$DU$7*Hoja1!$E$2,4+3/($DU$7*(1-Hoja1!$E$2))*(DU47-$DU$7*Hoja1!$E$2),1+3/($DU$7*Hoja1!$E$2)*DU47)),DU47)</f>
        <v/>
      </c>
      <c r="DW47" s="47" t="b">
        <v>0</v>
      </c>
    </row>
    <row r="48" ht="23.25" customHeight="1">
      <c r="A48" s="17" t="n">
        <v>39</v>
      </c>
      <c r="B48" s="18" t="inlineStr">
        <is>
          <t>VASQUEZ SOTO KIARA ALEJANDRA</t>
        </is>
      </c>
      <c r="C48" s="18" t="inlineStr">
        <is>
          <t>202040888</t>
        </is>
      </c>
      <c r="D48" s="1" t="n"/>
      <c r="E48" s="28" t="n"/>
      <c r="F48" s="19" t="n"/>
      <c r="G48" s="19" t="n"/>
      <c r="H48" s="19" t="n"/>
      <c r="I48" s="19" t="n"/>
      <c r="J48" s="19" t="n"/>
      <c r="K48" s="19" t="n"/>
      <c r="L48" s="19" t="n"/>
      <c r="M48" s="19" t="n"/>
      <c r="N48" s="19" t="n"/>
      <c r="O48" s="19" t="n"/>
      <c r="P48" s="19" t="n"/>
      <c r="Q48" s="19" t="n"/>
      <c r="R48" s="19" t="n"/>
      <c r="S48" s="19" t="n"/>
      <c r="T48" s="19" t="n"/>
      <c r="U48" s="19" t="n"/>
      <c r="V48" s="19" t="n"/>
      <c r="W48" s="19" t="n"/>
      <c r="X48" s="19" t="n"/>
      <c r="Y48" s="19" t="n"/>
      <c r="Z48" s="19" t="n"/>
      <c r="AA48" s="19" t="n"/>
      <c r="AB48" s="19" t="n"/>
      <c r="AC48" s="19" t="n"/>
      <c r="AD48" s="19" t="n"/>
      <c r="AE48" s="19" t="n"/>
      <c r="AF48" s="19" t="n"/>
      <c r="AG48" s="19" t="n"/>
      <c r="AH48" s="19" t="n"/>
      <c r="AI48" s="19" t="n"/>
      <c r="AJ48" s="19" t="n"/>
      <c r="AK48" s="19" t="n"/>
      <c r="AL48" s="19" t="n"/>
      <c r="AM48" s="19" t="n"/>
      <c r="AN48" s="19" t="n"/>
      <c r="AO48" s="19" t="n"/>
      <c r="AP48" s="19" t="n"/>
      <c r="AQ48" s="19" t="n"/>
      <c r="AR48" s="19" t="n"/>
      <c r="AS48" s="19" t="n"/>
      <c r="AT48" s="19" t="n"/>
      <c r="AU48" s="19" t="n"/>
      <c r="AV48" s="19" t="n"/>
      <c r="AW48" s="19" t="n"/>
      <c r="AX48" s="19" t="n"/>
      <c r="AY48" s="19" t="n"/>
      <c r="AZ48" s="19" t="n"/>
      <c r="BA48" s="19" t="n"/>
      <c r="BB48" s="19" t="n"/>
      <c r="BC48" s="19" t="n"/>
      <c r="BD48" s="19" t="n"/>
      <c r="BE48" s="19" t="n"/>
      <c r="BF48" s="19" t="n"/>
      <c r="BG48" s="19" t="n"/>
      <c r="BH48" s="19" t="n"/>
      <c r="BI48" s="19" t="n"/>
      <c r="BJ48" s="19" t="n"/>
      <c r="BK48" s="19" t="n"/>
      <c r="BL48" s="29" t="n"/>
      <c r="BM48">
        <f>IFERROR(VLOOKUP(BM$6,Hoja1!$F$2:$XFD$61,E48+4,FALSE),0)</f>
        <v/>
      </c>
      <c r="BN48">
        <f>IFERROR(VLOOKUP(BN$6,Hoja1!$F$2:$XFD$61,F48+4,FALSE),0)</f>
        <v/>
      </c>
      <c r="BO48">
        <f>IFERROR(VLOOKUP(BO$6,Hoja1!$F$2:$XFD$61,G48+4,FALSE),0)</f>
        <v/>
      </c>
      <c r="BP48">
        <f>IFERROR(VLOOKUP(BP$6,Hoja1!$F$2:$XFD$61,H48+4,FALSE),0)</f>
        <v/>
      </c>
      <c r="BQ48">
        <f>IFERROR(VLOOKUP(BQ$6,Hoja1!$F$2:$XFD$61,I48+4,FALSE),0)</f>
        <v/>
      </c>
      <c r="BR48">
        <f>IFERROR(VLOOKUP(BR$6,Hoja1!$F$2:$XFD$61,J48+4,FALSE),0)</f>
        <v/>
      </c>
      <c r="BS48">
        <f>IFERROR(VLOOKUP(BS$6,Hoja1!$F$2:$XFD$61,K48+4,FALSE),0)</f>
        <v/>
      </c>
      <c r="BT48">
        <f>IFERROR(VLOOKUP(BT$6,Hoja1!$F$2:$XFD$61,L48+4,FALSE),0)</f>
        <v/>
      </c>
      <c r="BU48">
        <f>IFERROR(VLOOKUP(BU$6,Hoja1!$F$2:$XFD$61,M48+4,FALSE),0)</f>
        <v/>
      </c>
      <c r="BV48">
        <f>IFERROR(VLOOKUP(BV$6,Hoja1!$F$2:$XFD$61,N48+4,FALSE),0)</f>
        <v/>
      </c>
      <c r="BW48">
        <f>IFERROR(VLOOKUP(BW$6,Hoja1!$F$2:$XFD$61,O48+4,FALSE),0)</f>
        <v/>
      </c>
      <c r="BX48">
        <f>IFERROR(VLOOKUP(BX$6,Hoja1!$F$2:$XFD$61,P48+4,FALSE),0)</f>
        <v/>
      </c>
      <c r="BY48">
        <f>IFERROR(VLOOKUP(BY$6,Hoja1!$F$2:$XFD$61,Q48+4,FALSE),0)</f>
        <v/>
      </c>
      <c r="BZ48">
        <f>IFERROR(VLOOKUP(BZ$6,Hoja1!$F$2:$XFD$61,R48+4,FALSE),0)</f>
        <v/>
      </c>
      <c r="CA48">
        <f>IFERROR(VLOOKUP(CA$6,Hoja1!$F$2:$XFD$61,S48+4,FALSE),0)</f>
        <v/>
      </c>
      <c r="CB48">
        <f>IFERROR(VLOOKUP(CB$6,Hoja1!$F$2:$XFD$61,T48+4,FALSE),0)</f>
        <v/>
      </c>
      <c r="CC48">
        <f>IFERROR(VLOOKUP(CC$6,Hoja1!$F$2:$XFD$61,U48+4,FALSE),0)</f>
        <v/>
      </c>
      <c r="CD48">
        <f>IFERROR(VLOOKUP(CD$6,Hoja1!$F$2:$XFD$61,V48+4,FALSE),0)</f>
        <v/>
      </c>
      <c r="CE48">
        <f>IFERROR(VLOOKUP(CE$6,Hoja1!$F$2:$XFD$61,W48+4,FALSE),0)</f>
        <v/>
      </c>
      <c r="CF48">
        <f>IFERROR(VLOOKUP(CF$6,Hoja1!$F$2:$XFD$61,X48+4,FALSE),0)</f>
        <v/>
      </c>
      <c r="CG48">
        <f>IFERROR(VLOOKUP(CG$6,Hoja1!$F$2:$XFD$61,Y48+4,FALSE),0)</f>
        <v/>
      </c>
      <c r="CH48">
        <f>IFERROR(VLOOKUP(CH$6,Hoja1!$F$2:$XFD$61,Z48+4,FALSE),0)</f>
        <v/>
      </c>
      <c r="CI48">
        <f>IFERROR(VLOOKUP(CI$6,Hoja1!$F$2:$XFD$61,AA48+4,FALSE),0)</f>
        <v/>
      </c>
      <c r="CJ48">
        <f>IFERROR(VLOOKUP(CJ$6,Hoja1!$F$2:$XFD$61,AB48+4,FALSE),0)</f>
        <v/>
      </c>
      <c r="CK48">
        <f>IFERROR(VLOOKUP(CK$6,Hoja1!$F$2:$XFD$61,AC48+4,FALSE),0)</f>
        <v/>
      </c>
      <c r="CL48">
        <f>IFERROR(VLOOKUP(CL$6,Hoja1!$F$2:$XFD$61,AD48+4,FALSE),0)</f>
        <v/>
      </c>
      <c r="CM48">
        <f>IFERROR(VLOOKUP(CM$6,Hoja1!$F$2:$XFD$61,AE48+4,FALSE),0)</f>
        <v/>
      </c>
      <c r="CN48">
        <f>IFERROR(VLOOKUP(CN$6,Hoja1!$F$2:$XFD$61,AF48+4,FALSE),0)</f>
        <v/>
      </c>
      <c r="CO48">
        <f>IFERROR(VLOOKUP(CO$6,Hoja1!$F$2:$XFD$61,AG48+4,FALSE),0)</f>
        <v/>
      </c>
      <c r="CP48">
        <f>IFERROR(VLOOKUP(CP$6,Hoja1!$F$2:$XFD$61,AH48+4,FALSE),0)</f>
        <v/>
      </c>
      <c r="CQ48">
        <f>IFERROR(VLOOKUP(CQ$6,Hoja1!$F$2:$XFD$61,AI48+4,FALSE),0)</f>
        <v/>
      </c>
      <c r="CR48">
        <f>IFERROR(VLOOKUP(CR$6,Hoja1!$F$2:$XFD$61,AJ48+4,FALSE),0)</f>
        <v/>
      </c>
      <c r="CS48">
        <f>IFERROR(VLOOKUP(CS$6,Hoja1!$F$2:$XFD$61,AK48+4,FALSE),0)</f>
        <v/>
      </c>
      <c r="CT48">
        <f>IFERROR(VLOOKUP(CT$6,Hoja1!$F$2:$XFD$61,AL48+4,FALSE),0)</f>
        <v/>
      </c>
      <c r="CU48">
        <f>IFERROR(VLOOKUP(CU$6,Hoja1!$F$2:$XFD$61,AM48+4,FALSE),0)</f>
        <v/>
      </c>
      <c r="CV48">
        <f>IFERROR(VLOOKUP(CV$6,Hoja1!$F$2:$XFD$61,AN48+4,FALSE),0)</f>
        <v/>
      </c>
      <c r="CW48">
        <f>IFERROR(VLOOKUP(CW$6,Hoja1!$F$2:$XFD$61,AO48+4,FALSE),0)</f>
        <v/>
      </c>
      <c r="CX48">
        <f>IFERROR(VLOOKUP(CX$6,Hoja1!$F$2:$XFD$61,AP48+4,FALSE),0)</f>
        <v/>
      </c>
      <c r="CY48">
        <f>IFERROR(VLOOKUP(CY$6,Hoja1!$F$2:$XFD$61,AQ48+4,FALSE),0)</f>
        <v/>
      </c>
      <c r="CZ48">
        <f>IFERROR(VLOOKUP(CZ$6,Hoja1!$F$2:$XFD$61,AR48+4,FALSE),0)</f>
        <v/>
      </c>
      <c r="DA48">
        <f>IFERROR(VLOOKUP(DA$6,Hoja1!$F$2:$XFD$61,AS48+4,FALSE),0)</f>
        <v/>
      </c>
      <c r="DB48">
        <f>IFERROR(VLOOKUP(DB$6,Hoja1!$F$2:$XFD$61,AT48+4,FALSE),0)</f>
        <v/>
      </c>
      <c r="DC48">
        <f>IFERROR(VLOOKUP(DC$6,Hoja1!$F$2:$XFD$61,AU48+4,FALSE),0)</f>
        <v/>
      </c>
      <c r="DD48">
        <f>IFERROR(VLOOKUP(DD$6,Hoja1!$F$2:$XFD$61,AV48+4,FALSE),0)</f>
        <v/>
      </c>
      <c r="DE48">
        <f>IFERROR(VLOOKUP(DE$6,Hoja1!$F$2:$XFD$61,AW48+4,FALSE),0)</f>
        <v/>
      </c>
      <c r="DF48">
        <f>IFERROR(VLOOKUP(DF$6,Hoja1!$F$2:$XFD$61,AX48+4,FALSE),0)</f>
        <v/>
      </c>
      <c r="DG48">
        <f>IFERROR(VLOOKUP(DG$6,Hoja1!$F$2:$XFD$61,AY48+4,FALSE),0)</f>
        <v/>
      </c>
      <c r="DH48">
        <f>IFERROR(VLOOKUP(DH$6,Hoja1!$F$2:$XFD$61,AZ48+4,FALSE),0)</f>
        <v/>
      </c>
      <c r="DI48">
        <f>IFERROR(VLOOKUP(DI$6,Hoja1!$F$2:$XFD$61,BA48+4,FALSE),0)</f>
        <v/>
      </c>
      <c r="DJ48">
        <f>IFERROR(VLOOKUP(DJ$6,Hoja1!$F$2:$XFD$61,BB48+4,FALSE),0)</f>
        <v/>
      </c>
      <c r="DK48">
        <f>IFERROR(VLOOKUP(DK$6,Hoja1!$F$2:$XFD$61,BC48+4,FALSE),0)</f>
        <v/>
      </c>
      <c r="DL48">
        <f>IFERROR(VLOOKUP(DL$6,Hoja1!$F$2:$XFD$61,BD48+4,FALSE),0)</f>
        <v/>
      </c>
      <c r="DM48">
        <f>IFERROR(VLOOKUP(DM$6,Hoja1!$F$2:$XFD$61,BE48+4,FALSE),0)</f>
        <v/>
      </c>
      <c r="DN48">
        <f>IFERROR(VLOOKUP(DN$6,Hoja1!$F$2:$XFD$61,BF48+4,FALSE),0)</f>
        <v/>
      </c>
      <c r="DO48">
        <f>IFERROR(VLOOKUP(DO$6,Hoja1!$F$2:$XFD$61,BG48+4,FALSE),0)</f>
        <v/>
      </c>
      <c r="DP48">
        <f>IFERROR(VLOOKUP(DP$6,Hoja1!$F$2:$XFD$61,BH48+4,FALSE),0)</f>
        <v/>
      </c>
      <c r="DQ48">
        <f>IFERROR(VLOOKUP(DQ$6,Hoja1!$F$2:$XFD$61,BI48+4,FALSE),0)</f>
        <v/>
      </c>
      <c r="DR48">
        <f>IFERROR(VLOOKUP(DR$6,Hoja1!$F$2:$XFD$61,BJ48+4,FALSE),0)</f>
        <v/>
      </c>
      <c r="DS48">
        <f>IFERROR(VLOOKUP(DS$6,Hoja1!$F$2:$XFD$61,BK48+4,FALSE),0)</f>
        <v/>
      </c>
      <c r="DT48">
        <f>IFERROR(VLOOKUP(DT$6,Hoja1!$F$2:$XFD$61,BL48+4,FALSE),0)</f>
        <v/>
      </c>
      <c r="DU48" s="15">
        <f>IF(COUNT(E48:BL48)=$DV$7,IF(D48="","indique grupo",SUM(BM48:DT48)),"")</f>
        <v/>
      </c>
      <c r="DV48" s="16">
        <f>IF(D48&lt;&gt;"",IF(DU48="","",IF(DU48&gt;=$DU$7*Hoja1!$E$2,4+3/($DU$7*(1-Hoja1!$E$2))*(DU48-$DU$7*Hoja1!$E$2),1+3/($DU$7*Hoja1!$E$2)*DU48)),DU48)</f>
        <v/>
      </c>
      <c r="DW48" s="47" t="b">
        <v>0</v>
      </c>
    </row>
    <row r="49" ht="23.25" customHeight="1">
      <c r="A49" s="17" t="n">
        <v>40</v>
      </c>
      <c r="B49" s="18" t="inlineStr">
        <is>
          <t>VILCHES WOLPI IVETTE ANDREA</t>
        </is>
      </c>
      <c r="C49" s="18" t="inlineStr">
        <is>
          <t>199145142</t>
        </is>
      </c>
      <c r="D49" s="1" t="n"/>
      <c r="E49" s="28" t="n"/>
      <c r="F49" s="19" t="n"/>
      <c r="G49" s="19" t="n"/>
      <c r="H49" s="19" t="n"/>
      <c r="I49" s="19" t="n"/>
      <c r="J49" s="19" t="n"/>
      <c r="K49" s="19" t="n"/>
      <c r="L49" s="19" t="n"/>
      <c r="M49" s="19" t="n"/>
      <c r="N49" s="19" t="n"/>
      <c r="O49" s="19" t="n"/>
      <c r="P49" s="19" t="n"/>
      <c r="Q49" s="19" t="n"/>
      <c r="R49" s="19" t="n"/>
      <c r="S49" s="19" t="n"/>
      <c r="T49" s="19" t="n"/>
      <c r="U49" s="19" t="n"/>
      <c r="V49" s="19" t="n"/>
      <c r="W49" s="19" t="n"/>
      <c r="X49" s="19" t="n"/>
      <c r="Y49" s="19" t="n"/>
      <c r="Z49" s="19" t="n"/>
      <c r="AA49" s="19" t="n"/>
      <c r="AB49" s="19" t="n"/>
      <c r="AC49" s="19" t="n"/>
      <c r="AD49" s="19" t="n"/>
      <c r="AE49" s="19" t="n"/>
      <c r="AF49" s="19" t="n"/>
      <c r="AG49" s="19" t="n"/>
      <c r="AH49" s="19" t="n"/>
      <c r="AI49" s="19" t="n"/>
      <c r="AJ49" s="19" t="n"/>
      <c r="AK49" s="19" t="n"/>
      <c r="AL49" s="19" t="n"/>
      <c r="AM49" s="19" t="n"/>
      <c r="AN49" s="19" t="n"/>
      <c r="AO49" s="19" t="n"/>
      <c r="AP49" s="19" t="n"/>
      <c r="AQ49" s="19" t="n"/>
      <c r="AR49" s="19" t="n"/>
      <c r="AS49" s="19" t="n"/>
      <c r="AT49" s="19" t="n"/>
      <c r="AU49" s="19" t="n"/>
      <c r="AV49" s="19" t="n"/>
      <c r="AW49" s="19" t="n"/>
      <c r="AX49" s="19" t="n"/>
      <c r="AY49" s="19" t="n"/>
      <c r="AZ49" s="19" t="n"/>
      <c r="BA49" s="19" t="n"/>
      <c r="BB49" s="19" t="n"/>
      <c r="BC49" s="19" t="n"/>
      <c r="BD49" s="19" t="n"/>
      <c r="BE49" s="19" t="n"/>
      <c r="BF49" s="19" t="n"/>
      <c r="BG49" s="19" t="n"/>
      <c r="BH49" s="19" t="n"/>
      <c r="BI49" s="19" t="n"/>
      <c r="BJ49" s="19" t="n"/>
      <c r="BK49" s="19" t="n"/>
      <c r="BL49" s="29" t="n"/>
      <c r="BM49">
        <f>IFERROR(VLOOKUP(BM$6,Hoja1!$F$2:$XFD$61,E49+4,FALSE),0)</f>
        <v/>
      </c>
      <c r="BN49">
        <f>IFERROR(VLOOKUP(BN$6,Hoja1!$F$2:$XFD$61,F49+4,FALSE),0)</f>
        <v/>
      </c>
      <c r="BO49">
        <f>IFERROR(VLOOKUP(BO$6,Hoja1!$F$2:$XFD$61,G49+4,FALSE),0)</f>
        <v/>
      </c>
      <c r="BP49">
        <f>IFERROR(VLOOKUP(BP$6,Hoja1!$F$2:$XFD$61,H49+4,FALSE),0)</f>
        <v/>
      </c>
      <c r="BQ49">
        <f>IFERROR(VLOOKUP(BQ$6,Hoja1!$F$2:$XFD$61,I49+4,FALSE),0)</f>
        <v/>
      </c>
      <c r="BR49">
        <f>IFERROR(VLOOKUP(BR$6,Hoja1!$F$2:$XFD$61,J49+4,FALSE),0)</f>
        <v/>
      </c>
      <c r="BS49">
        <f>IFERROR(VLOOKUP(BS$6,Hoja1!$F$2:$XFD$61,K49+4,FALSE),0)</f>
        <v/>
      </c>
      <c r="BT49">
        <f>IFERROR(VLOOKUP(BT$6,Hoja1!$F$2:$XFD$61,L49+4,FALSE),0)</f>
        <v/>
      </c>
      <c r="BU49">
        <f>IFERROR(VLOOKUP(BU$6,Hoja1!$F$2:$XFD$61,M49+4,FALSE),0)</f>
        <v/>
      </c>
      <c r="BV49">
        <f>IFERROR(VLOOKUP(BV$6,Hoja1!$F$2:$XFD$61,N49+4,FALSE),0)</f>
        <v/>
      </c>
      <c r="BW49">
        <f>IFERROR(VLOOKUP(BW$6,Hoja1!$F$2:$XFD$61,O49+4,FALSE),0)</f>
        <v/>
      </c>
      <c r="BX49">
        <f>IFERROR(VLOOKUP(BX$6,Hoja1!$F$2:$XFD$61,P49+4,FALSE),0)</f>
        <v/>
      </c>
      <c r="BY49">
        <f>IFERROR(VLOOKUP(BY$6,Hoja1!$F$2:$XFD$61,Q49+4,FALSE),0)</f>
        <v/>
      </c>
      <c r="BZ49">
        <f>IFERROR(VLOOKUP(BZ$6,Hoja1!$F$2:$XFD$61,R49+4,FALSE),0)</f>
        <v/>
      </c>
      <c r="CA49">
        <f>IFERROR(VLOOKUP(CA$6,Hoja1!$F$2:$XFD$61,S49+4,FALSE),0)</f>
        <v/>
      </c>
      <c r="CB49">
        <f>IFERROR(VLOOKUP(CB$6,Hoja1!$F$2:$XFD$61,T49+4,FALSE),0)</f>
        <v/>
      </c>
      <c r="CC49">
        <f>IFERROR(VLOOKUP(CC$6,Hoja1!$F$2:$XFD$61,U49+4,FALSE),0)</f>
        <v/>
      </c>
      <c r="CD49">
        <f>IFERROR(VLOOKUP(CD$6,Hoja1!$F$2:$XFD$61,V49+4,FALSE),0)</f>
        <v/>
      </c>
      <c r="CE49">
        <f>IFERROR(VLOOKUP(CE$6,Hoja1!$F$2:$XFD$61,W49+4,FALSE),0)</f>
        <v/>
      </c>
      <c r="CF49">
        <f>IFERROR(VLOOKUP(CF$6,Hoja1!$F$2:$XFD$61,X49+4,FALSE),0)</f>
        <v/>
      </c>
      <c r="CG49">
        <f>IFERROR(VLOOKUP(CG$6,Hoja1!$F$2:$XFD$61,Y49+4,FALSE),0)</f>
        <v/>
      </c>
      <c r="CH49">
        <f>IFERROR(VLOOKUP(CH$6,Hoja1!$F$2:$XFD$61,Z49+4,FALSE),0)</f>
        <v/>
      </c>
      <c r="CI49">
        <f>IFERROR(VLOOKUP(CI$6,Hoja1!$F$2:$XFD$61,AA49+4,FALSE),0)</f>
        <v/>
      </c>
      <c r="CJ49">
        <f>IFERROR(VLOOKUP(CJ$6,Hoja1!$F$2:$XFD$61,AB49+4,FALSE),0)</f>
        <v/>
      </c>
      <c r="CK49">
        <f>IFERROR(VLOOKUP(CK$6,Hoja1!$F$2:$XFD$61,AC49+4,FALSE),0)</f>
        <v/>
      </c>
      <c r="CL49">
        <f>IFERROR(VLOOKUP(CL$6,Hoja1!$F$2:$XFD$61,AD49+4,FALSE),0)</f>
        <v/>
      </c>
      <c r="CM49">
        <f>IFERROR(VLOOKUP(CM$6,Hoja1!$F$2:$XFD$61,AE49+4,FALSE),0)</f>
        <v/>
      </c>
      <c r="CN49">
        <f>IFERROR(VLOOKUP(CN$6,Hoja1!$F$2:$XFD$61,AF49+4,FALSE),0)</f>
        <v/>
      </c>
      <c r="CO49">
        <f>IFERROR(VLOOKUP(CO$6,Hoja1!$F$2:$XFD$61,AG49+4,FALSE),0)</f>
        <v/>
      </c>
      <c r="CP49">
        <f>IFERROR(VLOOKUP(CP$6,Hoja1!$F$2:$XFD$61,AH49+4,FALSE),0)</f>
        <v/>
      </c>
      <c r="CQ49">
        <f>IFERROR(VLOOKUP(CQ$6,Hoja1!$F$2:$XFD$61,AI49+4,FALSE),0)</f>
        <v/>
      </c>
      <c r="CR49">
        <f>IFERROR(VLOOKUP(CR$6,Hoja1!$F$2:$XFD$61,AJ49+4,FALSE),0)</f>
        <v/>
      </c>
      <c r="CS49">
        <f>IFERROR(VLOOKUP(CS$6,Hoja1!$F$2:$XFD$61,AK49+4,FALSE),0)</f>
        <v/>
      </c>
      <c r="CT49">
        <f>IFERROR(VLOOKUP(CT$6,Hoja1!$F$2:$XFD$61,AL49+4,FALSE),0)</f>
        <v/>
      </c>
      <c r="CU49">
        <f>IFERROR(VLOOKUP(CU$6,Hoja1!$F$2:$XFD$61,AM49+4,FALSE),0)</f>
        <v/>
      </c>
      <c r="CV49">
        <f>IFERROR(VLOOKUP(CV$6,Hoja1!$F$2:$XFD$61,AN49+4,FALSE),0)</f>
        <v/>
      </c>
      <c r="CW49">
        <f>IFERROR(VLOOKUP(CW$6,Hoja1!$F$2:$XFD$61,AO49+4,FALSE),0)</f>
        <v/>
      </c>
      <c r="CX49">
        <f>IFERROR(VLOOKUP(CX$6,Hoja1!$F$2:$XFD$61,AP49+4,FALSE),0)</f>
        <v/>
      </c>
      <c r="CY49">
        <f>IFERROR(VLOOKUP(CY$6,Hoja1!$F$2:$XFD$61,AQ49+4,FALSE),0)</f>
        <v/>
      </c>
      <c r="CZ49">
        <f>IFERROR(VLOOKUP(CZ$6,Hoja1!$F$2:$XFD$61,AR49+4,FALSE),0)</f>
        <v/>
      </c>
      <c r="DA49">
        <f>IFERROR(VLOOKUP(DA$6,Hoja1!$F$2:$XFD$61,AS49+4,FALSE),0)</f>
        <v/>
      </c>
      <c r="DB49">
        <f>IFERROR(VLOOKUP(DB$6,Hoja1!$F$2:$XFD$61,AT49+4,FALSE),0)</f>
        <v/>
      </c>
      <c r="DC49">
        <f>IFERROR(VLOOKUP(DC$6,Hoja1!$F$2:$XFD$61,AU49+4,FALSE),0)</f>
        <v/>
      </c>
      <c r="DD49">
        <f>IFERROR(VLOOKUP(DD$6,Hoja1!$F$2:$XFD$61,AV49+4,FALSE),0)</f>
        <v/>
      </c>
      <c r="DE49">
        <f>IFERROR(VLOOKUP(DE$6,Hoja1!$F$2:$XFD$61,AW49+4,FALSE),0)</f>
        <v/>
      </c>
      <c r="DF49">
        <f>IFERROR(VLOOKUP(DF$6,Hoja1!$F$2:$XFD$61,AX49+4,FALSE),0)</f>
        <v/>
      </c>
      <c r="DG49">
        <f>IFERROR(VLOOKUP(DG$6,Hoja1!$F$2:$XFD$61,AY49+4,FALSE),0)</f>
        <v/>
      </c>
      <c r="DH49">
        <f>IFERROR(VLOOKUP(DH$6,Hoja1!$F$2:$XFD$61,AZ49+4,FALSE),0)</f>
        <v/>
      </c>
      <c r="DI49">
        <f>IFERROR(VLOOKUP(DI$6,Hoja1!$F$2:$XFD$61,BA49+4,FALSE),0)</f>
        <v/>
      </c>
      <c r="DJ49">
        <f>IFERROR(VLOOKUP(DJ$6,Hoja1!$F$2:$XFD$61,BB49+4,FALSE),0)</f>
        <v/>
      </c>
      <c r="DK49">
        <f>IFERROR(VLOOKUP(DK$6,Hoja1!$F$2:$XFD$61,BC49+4,FALSE),0)</f>
        <v/>
      </c>
      <c r="DL49">
        <f>IFERROR(VLOOKUP(DL$6,Hoja1!$F$2:$XFD$61,BD49+4,FALSE),0)</f>
        <v/>
      </c>
      <c r="DM49">
        <f>IFERROR(VLOOKUP(DM$6,Hoja1!$F$2:$XFD$61,BE49+4,FALSE),0)</f>
        <v/>
      </c>
      <c r="DN49">
        <f>IFERROR(VLOOKUP(DN$6,Hoja1!$F$2:$XFD$61,BF49+4,FALSE),0)</f>
        <v/>
      </c>
      <c r="DO49">
        <f>IFERROR(VLOOKUP(DO$6,Hoja1!$F$2:$XFD$61,BG49+4,FALSE),0)</f>
        <v/>
      </c>
      <c r="DP49">
        <f>IFERROR(VLOOKUP(DP$6,Hoja1!$F$2:$XFD$61,BH49+4,FALSE),0)</f>
        <v/>
      </c>
      <c r="DQ49">
        <f>IFERROR(VLOOKUP(DQ$6,Hoja1!$F$2:$XFD$61,BI49+4,FALSE),0)</f>
        <v/>
      </c>
      <c r="DR49">
        <f>IFERROR(VLOOKUP(DR$6,Hoja1!$F$2:$XFD$61,BJ49+4,FALSE),0)</f>
        <v/>
      </c>
      <c r="DS49">
        <f>IFERROR(VLOOKUP(DS$6,Hoja1!$F$2:$XFD$61,BK49+4,FALSE),0)</f>
        <v/>
      </c>
      <c r="DT49">
        <f>IFERROR(VLOOKUP(DT$6,Hoja1!$F$2:$XFD$61,BL49+4,FALSE),0)</f>
        <v/>
      </c>
      <c r="DU49" s="15">
        <f>IF(COUNT(E49:BL49)=$DV$7,IF(D49="","indique grupo",SUM(BM49:DT49)),"")</f>
        <v/>
      </c>
      <c r="DV49" s="16">
        <f>IF(D49&lt;&gt;"",IF(DU49="","",IF(DU49&gt;=$DU$7*Hoja1!$E$2,4+3/($DU$7*(1-Hoja1!$E$2))*(DU49-$DU$7*Hoja1!$E$2),1+3/($DU$7*Hoja1!$E$2)*DU49)),DU49)</f>
        <v/>
      </c>
      <c r="DW49" s="47" t="b">
        <v>0</v>
      </c>
    </row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2024-05-03T14:02:33Z</dcterms:modified>
  <cp:lastModifiedBy>Leandro Gutierrez A.</cp:lastModifiedBy>
  <cp:lastPrinted>2012-11-30T22:55:58Z</cp:lastPrinted>
</cp:coreProperties>
</file>