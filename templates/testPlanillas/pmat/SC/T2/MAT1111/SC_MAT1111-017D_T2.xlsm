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9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ACUNA MOLINAS LUCIANO ANDRES</t>
        </is>
      </c>
      <c r="C10" s="14" t="inlineStr">
        <is>
          <t>219189648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AIRD GUTIERREZ SEBASTIAN</t>
        </is>
      </c>
      <c r="C11" s="18" t="inlineStr">
        <is>
          <t>217938562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ALDEA ARANGUIZ MONSERRATT</t>
        </is>
      </c>
      <c r="C12" s="14" t="inlineStr">
        <is>
          <t>213544438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ARAYA PIZARRO BENJAMIN</t>
        </is>
      </c>
      <c r="C13" s="18" t="inlineStr">
        <is>
          <t>215096289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AREVALO PEREA CARLO ANDRE</t>
        </is>
      </c>
      <c r="C14" s="14" t="inlineStr">
        <is>
          <t>254359556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CATALAN BELLONI BRUNO LEON</t>
        </is>
      </c>
      <c r="C15" s="14" t="inlineStr">
        <is>
          <t>220296377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CEBALLOS LIZAMA CRISTIAN FELIPE</t>
        </is>
      </c>
      <c r="C16" s="18" t="inlineStr">
        <is>
          <t>219946457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CRUZ CIPRIANO RODRIGO OLIVER</t>
        </is>
      </c>
      <c r="C17" s="14" t="inlineStr">
        <is>
          <t>231809538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DELGADO CORTES CRISTOBAL JESUS</t>
        </is>
      </c>
      <c r="C18" s="14" t="inlineStr">
        <is>
          <t>222509564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DIEZ GIOIA JOAQUIN MATEO</t>
        </is>
      </c>
      <c r="C19" s="18" t="inlineStr">
        <is>
          <t>213028766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DURAN LEAL VICENTE JOSE</t>
        </is>
      </c>
      <c r="C20" s="18" t="inlineStr">
        <is>
          <t>21700358K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FARENDEN CERON VINCENT</t>
        </is>
      </c>
      <c r="C21" s="18" t="inlineStr">
        <is>
          <t>210778217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FARIAS AGUIRRE JORGE MIGUEL</t>
        </is>
      </c>
      <c r="C22" s="18" t="inlineStr">
        <is>
          <t>211614196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GARRIDO DAVED SEBASTIAN ALEJANDRO</t>
        </is>
      </c>
      <c r="C23" s="18" t="inlineStr">
        <is>
          <t>219727682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GONZALEZ REYES IGNACIO JESUS</t>
        </is>
      </c>
      <c r="C24" s="18" t="inlineStr">
        <is>
          <t>20445681K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SAAVEDRA AGUSTIN</t>
        </is>
      </c>
      <c r="C25" s="18" t="inlineStr">
        <is>
          <t>219847726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JEREZ DIAZ RODRIGO IGNACIO</t>
        </is>
      </c>
      <c r="C26" s="18" t="inlineStr">
        <is>
          <t>188660398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JORQUERA PEREZ BENJAMIN PABLO</t>
        </is>
      </c>
      <c r="C27" s="18" t="inlineStr">
        <is>
          <t>218087159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MAINO CERDA TOMAS</t>
        </is>
      </c>
      <c r="C28" s="18" t="inlineStr">
        <is>
          <t>204291659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MENDOZA NUNEZ JOSE ANGEL</t>
        </is>
      </c>
      <c r="C29" s="18" t="inlineStr">
        <is>
          <t>261607816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OLGUIN FUENZALIDA ALEXIS ANDRES</t>
        </is>
      </c>
      <c r="C30" s="18" t="inlineStr">
        <is>
          <t>200007557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QUEZADA SANCHEZ VICENTE JESUS</t>
        </is>
      </c>
      <c r="C31" s="18" t="inlineStr">
        <is>
          <t>211375426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QUISPE MARTINEZ ESTHER</t>
        </is>
      </c>
      <c r="C32" s="18" t="inlineStr">
        <is>
          <t>231029923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RIQUELME MATELUNA CRISTOBAL NICOLAS</t>
        </is>
      </c>
      <c r="C33" s="18" t="inlineStr">
        <is>
          <t>217784123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ROBLES VARGAS MATIAS BENJAMIN</t>
        </is>
      </c>
      <c r="C34" s="18" t="inlineStr">
        <is>
          <t>219409583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SALINAS GONGORA LUCIANO AMARO</t>
        </is>
      </c>
      <c r="C35" s="18" t="inlineStr">
        <is>
          <t>217175259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SALMAN BADDOUR MIKHAIL JESUA</t>
        </is>
      </c>
      <c r="C36" s="18" t="inlineStr">
        <is>
          <t>217674395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VERGARA VALENZUELA VICENTE</t>
        </is>
      </c>
      <c r="C37" s="18" t="inlineStr">
        <is>
          <t>210521895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VILCHES TAPIA IGNACIO ANTONIO</t>
        </is>
      </c>
      <c r="C38" s="18" t="inlineStr">
        <is>
          <t>218263399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>
      <c r="A39" s="17" t="n">
        <v>30</v>
      </c>
      <c r="B39" s="18" t="inlineStr">
        <is>
          <t>VITAR YANGUAS JOSE TOMAS</t>
        </is>
      </c>
      <c r="C39" s="18" t="inlineStr">
        <is>
          <t>210310509</t>
        </is>
      </c>
      <c r="D39" s="1" t="n"/>
      <c r="E39" s="28" t="n"/>
      <c r="F39" s="19" t="n"/>
      <c r="G39" s="19" t="n"/>
      <c r="H39" s="19" t="n"/>
      <c r="I39" s="19" t="n"/>
      <c r="J39" s="19" t="n"/>
      <c r="K39" s="19" t="n"/>
      <c r="L39" s="19" t="n"/>
      <c r="M39" s="19" t="n"/>
      <c r="N39" s="19" t="n"/>
      <c r="O39" s="19" t="n"/>
      <c r="P39" s="19" t="n"/>
      <c r="Q39" s="19" t="n"/>
      <c r="R39" s="19" t="n"/>
      <c r="S39" s="19" t="n"/>
      <c r="T39" s="19" t="n"/>
      <c r="U39" s="19" t="n"/>
      <c r="V39" s="19" t="n"/>
      <c r="W39" s="19" t="n"/>
      <c r="X39" s="19" t="n"/>
      <c r="Y39" s="19" t="n"/>
      <c r="Z39" s="19" t="n"/>
      <c r="AA39" s="19" t="n"/>
      <c r="AB39" s="19" t="n"/>
      <c r="AC39" s="19" t="n"/>
      <c r="AD39" s="19" t="n"/>
      <c r="AE39" s="19" t="n"/>
      <c r="AF39" s="19" t="n"/>
      <c r="AG39" s="19" t="n"/>
      <c r="AH39" s="19" t="n"/>
      <c r="AI39" s="19" t="n"/>
      <c r="AJ39" s="19" t="n"/>
      <c r="AK39" s="19" t="n"/>
      <c r="AL39" s="19" t="n"/>
      <c r="AM39" s="19" t="n"/>
      <c r="AN39" s="19" t="n"/>
      <c r="AO39" s="19" t="n"/>
      <c r="AP39" s="19" t="n"/>
      <c r="AQ39" s="19" t="n"/>
      <c r="AR39" s="19" t="n"/>
      <c r="AS39" s="19" t="n"/>
      <c r="AT39" s="19" t="n"/>
      <c r="AU39" s="19" t="n"/>
      <c r="AV39" s="19" t="n"/>
      <c r="AW39" s="19" t="n"/>
      <c r="AX39" s="19" t="n"/>
      <c r="AY39" s="19" t="n"/>
      <c r="AZ39" s="19" t="n"/>
      <c r="BA39" s="19" t="n"/>
      <c r="BB39" s="19" t="n"/>
      <c r="BC39" s="19" t="n"/>
      <c r="BD39" s="19" t="n"/>
      <c r="BE39" s="19" t="n"/>
      <c r="BF39" s="19" t="n"/>
      <c r="BG39" s="19" t="n"/>
      <c r="BH39" s="19" t="n"/>
      <c r="BI39" s="19" t="n"/>
      <c r="BJ39" s="19" t="n"/>
      <c r="BK39" s="19" t="n"/>
      <c r="BL39" s="29" t="n"/>
      <c r="BM39">
        <f>IFERROR(VLOOKUP(BM$6,Hoja1!$F$2:$XFD$61,E39+4,FALSE),0)</f>
        <v/>
      </c>
      <c r="BN39">
        <f>IFERROR(VLOOKUP(BN$6,Hoja1!$F$2:$XFD$61,F39+4,FALSE),0)</f>
        <v/>
      </c>
      <c r="BO39">
        <f>IFERROR(VLOOKUP(BO$6,Hoja1!$F$2:$XFD$61,G39+4,FALSE),0)</f>
        <v/>
      </c>
      <c r="BP39">
        <f>IFERROR(VLOOKUP(BP$6,Hoja1!$F$2:$XFD$61,H39+4,FALSE),0)</f>
        <v/>
      </c>
      <c r="BQ39">
        <f>IFERROR(VLOOKUP(BQ$6,Hoja1!$F$2:$XFD$61,I39+4,FALSE),0)</f>
        <v/>
      </c>
      <c r="BR39">
        <f>IFERROR(VLOOKUP(BR$6,Hoja1!$F$2:$XFD$61,J39+4,FALSE),0)</f>
        <v/>
      </c>
      <c r="BS39">
        <f>IFERROR(VLOOKUP(BS$6,Hoja1!$F$2:$XFD$61,K39+4,FALSE),0)</f>
        <v/>
      </c>
      <c r="BT39">
        <f>IFERROR(VLOOKUP(BT$6,Hoja1!$F$2:$XFD$61,L39+4,FALSE),0)</f>
        <v/>
      </c>
      <c r="BU39">
        <f>IFERROR(VLOOKUP(BU$6,Hoja1!$F$2:$XFD$61,M39+4,FALSE),0)</f>
        <v/>
      </c>
      <c r="BV39">
        <f>IFERROR(VLOOKUP(BV$6,Hoja1!$F$2:$XFD$61,N39+4,FALSE),0)</f>
        <v/>
      </c>
      <c r="BW39">
        <f>IFERROR(VLOOKUP(BW$6,Hoja1!$F$2:$XFD$61,O39+4,FALSE),0)</f>
        <v/>
      </c>
      <c r="BX39">
        <f>IFERROR(VLOOKUP(BX$6,Hoja1!$F$2:$XFD$61,P39+4,FALSE),0)</f>
        <v/>
      </c>
      <c r="BY39">
        <f>IFERROR(VLOOKUP(BY$6,Hoja1!$F$2:$XFD$61,Q39+4,FALSE),0)</f>
        <v/>
      </c>
      <c r="BZ39">
        <f>IFERROR(VLOOKUP(BZ$6,Hoja1!$F$2:$XFD$61,R39+4,FALSE),0)</f>
        <v/>
      </c>
      <c r="CA39">
        <f>IFERROR(VLOOKUP(CA$6,Hoja1!$F$2:$XFD$61,S39+4,FALSE),0)</f>
        <v/>
      </c>
      <c r="CB39">
        <f>IFERROR(VLOOKUP(CB$6,Hoja1!$F$2:$XFD$61,T39+4,FALSE),0)</f>
        <v/>
      </c>
      <c r="CC39">
        <f>IFERROR(VLOOKUP(CC$6,Hoja1!$F$2:$XFD$61,U39+4,FALSE),0)</f>
        <v/>
      </c>
      <c r="CD39">
        <f>IFERROR(VLOOKUP(CD$6,Hoja1!$F$2:$XFD$61,V39+4,FALSE),0)</f>
        <v/>
      </c>
      <c r="CE39">
        <f>IFERROR(VLOOKUP(CE$6,Hoja1!$F$2:$XFD$61,W39+4,FALSE),0)</f>
        <v/>
      </c>
      <c r="CF39">
        <f>IFERROR(VLOOKUP(CF$6,Hoja1!$F$2:$XFD$61,X39+4,FALSE),0)</f>
        <v/>
      </c>
      <c r="CG39">
        <f>IFERROR(VLOOKUP(CG$6,Hoja1!$F$2:$XFD$61,Y39+4,FALSE),0)</f>
        <v/>
      </c>
      <c r="CH39">
        <f>IFERROR(VLOOKUP(CH$6,Hoja1!$F$2:$XFD$61,Z39+4,FALSE),0)</f>
        <v/>
      </c>
      <c r="CI39">
        <f>IFERROR(VLOOKUP(CI$6,Hoja1!$F$2:$XFD$61,AA39+4,FALSE),0)</f>
        <v/>
      </c>
      <c r="CJ39">
        <f>IFERROR(VLOOKUP(CJ$6,Hoja1!$F$2:$XFD$61,AB39+4,FALSE),0)</f>
        <v/>
      </c>
      <c r="CK39">
        <f>IFERROR(VLOOKUP(CK$6,Hoja1!$F$2:$XFD$61,AC39+4,FALSE),0)</f>
        <v/>
      </c>
      <c r="CL39">
        <f>IFERROR(VLOOKUP(CL$6,Hoja1!$F$2:$XFD$61,AD39+4,FALSE),0)</f>
        <v/>
      </c>
      <c r="CM39">
        <f>IFERROR(VLOOKUP(CM$6,Hoja1!$F$2:$XFD$61,AE39+4,FALSE),0)</f>
        <v/>
      </c>
      <c r="CN39">
        <f>IFERROR(VLOOKUP(CN$6,Hoja1!$F$2:$XFD$61,AF39+4,FALSE),0)</f>
        <v/>
      </c>
      <c r="CO39">
        <f>IFERROR(VLOOKUP(CO$6,Hoja1!$F$2:$XFD$61,AG39+4,FALSE),0)</f>
        <v/>
      </c>
      <c r="CP39">
        <f>IFERROR(VLOOKUP(CP$6,Hoja1!$F$2:$XFD$61,AH39+4,FALSE),0)</f>
        <v/>
      </c>
      <c r="CQ39">
        <f>IFERROR(VLOOKUP(CQ$6,Hoja1!$F$2:$XFD$61,AI39+4,FALSE),0)</f>
        <v/>
      </c>
      <c r="CR39">
        <f>IFERROR(VLOOKUP(CR$6,Hoja1!$F$2:$XFD$61,AJ39+4,FALSE),0)</f>
        <v/>
      </c>
      <c r="CS39">
        <f>IFERROR(VLOOKUP(CS$6,Hoja1!$F$2:$XFD$61,AK39+4,FALSE),0)</f>
        <v/>
      </c>
      <c r="CT39">
        <f>IFERROR(VLOOKUP(CT$6,Hoja1!$F$2:$XFD$61,AL39+4,FALSE),0)</f>
        <v/>
      </c>
      <c r="CU39">
        <f>IFERROR(VLOOKUP(CU$6,Hoja1!$F$2:$XFD$61,AM39+4,FALSE),0)</f>
        <v/>
      </c>
      <c r="CV39">
        <f>IFERROR(VLOOKUP(CV$6,Hoja1!$F$2:$XFD$61,AN39+4,FALSE),0)</f>
        <v/>
      </c>
      <c r="CW39">
        <f>IFERROR(VLOOKUP(CW$6,Hoja1!$F$2:$XFD$61,AO39+4,FALSE),0)</f>
        <v/>
      </c>
      <c r="CX39">
        <f>IFERROR(VLOOKUP(CX$6,Hoja1!$F$2:$XFD$61,AP39+4,FALSE),0)</f>
        <v/>
      </c>
      <c r="CY39">
        <f>IFERROR(VLOOKUP(CY$6,Hoja1!$F$2:$XFD$61,AQ39+4,FALSE),0)</f>
        <v/>
      </c>
      <c r="CZ39">
        <f>IFERROR(VLOOKUP(CZ$6,Hoja1!$F$2:$XFD$61,AR39+4,FALSE),0)</f>
        <v/>
      </c>
      <c r="DA39">
        <f>IFERROR(VLOOKUP(DA$6,Hoja1!$F$2:$XFD$61,AS39+4,FALSE),0)</f>
        <v/>
      </c>
      <c r="DB39">
        <f>IFERROR(VLOOKUP(DB$6,Hoja1!$F$2:$XFD$61,AT39+4,FALSE),0)</f>
        <v/>
      </c>
      <c r="DC39">
        <f>IFERROR(VLOOKUP(DC$6,Hoja1!$F$2:$XFD$61,AU39+4,FALSE),0)</f>
        <v/>
      </c>
      <c r="DD39">
        <f>IFERROR(VLOOKUP(DD$6,Hoja1!$F$2:$XFD$61,AV39+4,FALSE),0)</f>
        <v/>
      </c>
      <c r="DE39">
        <f>IFERROR(VLOOKUP(DE$6,Hoja1!$F$2:$XFD$61,AW39+4,FALSE),0)</f>
        <v/>
      </c>
      <c r="DF39">
        <f>IFERROR(VLOOKUP(DF$6,Hoja1!$F$2:$XFD$61,AX39+4,FALSE),0)</f>
        <v/>
      </c>
      <c r="DG39">
        <f>IFERROR(VLOOKUP(DG$6,Hoja1!$F$2:$XFD$61,AY39+4,FALSE),0)</f>
        <v/>
      </c>
      <c r="DH39">
        <f>IFERROR(VLOOKUP(DH$6,Hoja1!$F$2:$XFD$61,AZ39+4,FALSE),0)</f>
        <v/>
      </c>
      <c r="DI39">
        <f>IFERROR(VLOOKUP(DI$6,Hoja1!$F$2:$XFD$61,BA39+4,FALSE),0)</f>
        <v/>
      </c>
      <c r="DJ39">
        <f>IFERROR(VLOOKUP(DJ$6,Hoja1!$F$2:$XFD$61,BB39+4,FALSE),0)</f>
        <v/>
      </c>
      <c r="DK39">
        <f>IFERROR(VLOOKUP(DK$6,Hoja1!$F$2:$XFD$61,BC39+4,FALSE),0)</f>
        <v/>
      </c>
      <c r="DL39">
        <f>IFERROR(VLOOKUP(DL$6,Hoja1!$F$2:$XFD$61,BD39+4,FALSE),0)</f>
        <v/>
      </c>
      <c r="DM39">
        <f>IFERROR(VLOOKUP(DM$6,Hoja1!$F$2:$XFD$61,BE39+4,FALSE),0)</f>
        <v/>
      </c>
      <c r="DN39">
        <f>IFERROR(VLOOKUP(DN$6,Hoja1!$F$2:$XFD$61,BF39+4,FALSE),0)</f>
        <v/>
      </c>
      <c r="DO39">
        <f>IFERROR(VLOOKUP(DO$6,Hoja1!$F$2:$XFD$61,BG39+4,FALSE),0)</f>
        <v/>
      </c>
      <c r="DP39">
        <f>IFERROR(VLOOKUP(DP$6,Hoja1!$F$2:$XFD$61,BH39+4,FALSE),0)</f>
        <v/>
      </c>
      <c r="DQ39">
        <f>IFERROR(VLOOKUP(DQ$6,Hoja1!$F$2:$XFD$61,BI39+4,FALSE),0)</f>
        <v/>
      </c>
      <c r="DR39">
        <f>IFERROR(VLOOKUP(DR$6,Hoja1!$F$2:$XFD$61,BJ39+4,FALSE),0)</f>
        <v/>
      </c>
      <c r="DS39">
        <f>IFERROR(VLOOKUP(DS$6,Hoja1!$F$2:$XFD$61,BK39+4,FALSE),0)</f>
        <v/>
      </c>
      <c r="DT39">
        <f>IFERROR(VLOOKUP(DT$6,Hoja1!$F$2:$XFD$61,BL39+4,FALSE),0)</f>
        <v/>
      </c>
      <c r="DU39" s="15">
        <f>IF(COUNT(E39:BL39)=$DV$7,IF(D39="","indique grupo",SUM(BM39:DT39)),"")</f>
        <v/>
      </c>
      <c r="DV39" s="16">
        <f>IF(D39&lt;&gt;"",IF(DU39="","",IF(DU39&gt;=$DU$7*Hoja1!$E$2,4+3/($DU$7*(1-Hoja1!$E$2))*(DU39-$DU$7*Hoja1!$E$2),1+3/($DU$7*Hoja1!$E$2)*DU39)),DU39)</f>
        <v/>
      </c>
      <c r="DW39" s="47" t="b">
        <v>0</v>
      </c>
    </row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2024-05-03T14:12:37Z</dcterms:modified>
  <cp:lastModifiedBy>Leandro Gutierrez A.</cp:lastModifiedBy>
  <cp:lastPrinted>2012-11-30T22:55:58Z</cp:lastPrinted>
</cp:coreProperties>
</file>