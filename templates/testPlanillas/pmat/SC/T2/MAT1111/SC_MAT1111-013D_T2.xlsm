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55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AREVALO JIMENEZ IGNACIA AMARAL</t>
        </is>
      </c>
      <c r="C10" s="14" t="inlineStr">
        <is>
          <t>221340051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ASTUDILLO GARRIDO MARTIN VICENTE</t>
        </is>
      </c>
      <c r="C11" s="18" t="inlineStr">
        <is>
          <t>213270672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BADILLA MARTINEZ KATHERINE ALEJANDRINA</t>
        </is>
      </c>
      <c r="C12" s="14" t="inlineStr">
        <is>
          <t>219072376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BARAHONA RAMIREZ AMMY ODETTE</t>
        </is>
      </c>
      <c r="C13" s="18" t="inlineStr">
        <is>
          <t>213970615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BARRAZA PINEDA CAROLINE VALERIE</t>
        </is>
      </c>
      <c r="C14" s="14" t="inlineStr">
        <is>
          <t>234196979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BASCUR MIRANDA MARTINA IGNACIA</t>
        </is>
      </c>
      <c r="C15" s="14" t="inlineStr">
        <is>
          <t>220122891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BENDIX FIGUEROA JOSEFA IGNACIA</t>
        </is>
      </c>
      <c r="C16" s="18" t="inlineStr">
        <is>
          <t>200160630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CASTILLO ROJAS VALERIA FRANCISCA</t>
        </is>
      </c>
      <c r="C17" s="14" t="inlineStr">
        <is>
          <t>219494203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CHAVARRIA LAVIN VICENTE AMARO</t>
        </is>
      </c>
      <c r="C18" s="14" t="inlineStr">
        <is>
          <t>214308045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CONTRERAS MORA NAYARETTE BERNABET</t>
        </is>
      </c>
      <c r="C19" s="18" t="inlineStr">
        <is>
          <t>21937139K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CONTRERAS TORRES KRISHNA</t>
        </is>
      </c>
      <c r="C20" s="18" t="inlineStr">
        <is>
          <t>21178735K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FARINA VENDER IGNACIA ANDREA</t>
        </is>
      </c>
      <c r="C21" s="18" t="inlineStr">
        <is>
          <t>211435569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FIGUEROA PIZARRO NOELIA CATALINA</t>
        </is>
      </c>
      <c r="C22" s="18" t="inlineStr">
        <is>
          <t>219221711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GAJARDO SALINAS FERNANDA</t>
        </is>
      </c>
      <c r="C23" s="18" t="inlineStr">
        <is>
          <t>216697677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GALVEZ LOPEZ DANIELA SOFIA</t>
        </is>
      </c>
      <c r="C24" s="18" t="inlineStr">
        <is>
          <t>220030415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GOMEZ PALOMINOS AILYN VICTORIA</t>
        </is>
      </c>
      <c r="C25" s="18" t="inlineStr">
        <is>
          <t>220156400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GONZALEZ CALQUIN IGNACIA ALEXANDRA</t>
        </is>
      </c>
      <c r="C26" s="18" t="inlineStr">
        <is>
          <t>219625421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GONZALEZ FERNANDEZ CAMILA ALEJANDRA</t>
        </is>
      </c>
      <c r="C27" s="18" t="inlineStr">
        <is>
          <t>205889868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GUERRATY WILLRICH JAVIERA IGNACIA</t>
        </is>
      </c>
      <c r="C28" s="18" t="inlineStr">
        <is>
          <t>215297535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HINZPETER VENTURA GUILLERMO</t>
        </is>
      </c>
      <c r="C29" s="18" t="inlineStr">
        <is>
          <t>196365133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LIGUEÑO GONZÁLEZ CONSTANZA CAROLINA</t>
        </is>
      </c>
      <c r="C30" s="18" t="inlineStr">
        <is>
          <t>212991791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LILLO MALDONADO FABIANA</t>
        </is>
      </c>
      <c r="C31" s="18" t="inlineStr">
        <is>
          <t>212305286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LOAYZA ARIAS TRINIDAD ESPERANZA</t>
        </is>
      </c>
      <c r="C32" s="18" t="inlineStr">
        <is>
          <t>213133055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MELLA JARA GIOVANNI SEBASTIAN</t>
        </is>
      </c>
      <c r="C33" s="18" t="inlineStr">
        <is>
          <t>213044869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MENDEZ PALMA CATALINA PIA</t>
        </is>
      </c>
      <c r="C34" s="18" t="inlineStr">
        <is>
          <t>217534224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MILLAMÁN CARRASCO PALOMA CONSTANZA ARACELY</t>
        </is>
      </c>
      <c r="C35" s="18" t="inlineStr">
        <is>
          <t>206494271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MUNOZ AGUAYO MARTINA ANDREA</t>
        </is>
      </c>
      <c r="C36" s="18" t="inlineStr">
        <is>
          <t>211643706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MUNOZ CANTILLANA LUCAS ANTONIO</t>
        </is>
      </c>
      <c r="C37" s="18" t="inlineStr">
        <is>
          <t>220007863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MUNOZ VALLEJOS DANIEL ARON</t>
        </is>
      </c>
      <c r="C38" s="18" t="inlineStr">
        <is>
          <t>217915627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NUNEZ ARANGUIZ JULIETA ALMENDRA</t>
        </is>
      </c>
      <c r="C39" s="18" t="inlineStr">
        <is>
          <t>219010915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ORELLANA RÍOS SAVKA DEYANIRA</t>
        </is>
      </c>
      <c r="C40" s="18" t="inlineStr">
        <is>
          <t>211579137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ORIAN RAMIREZ JAVIERA PAZ</t>
        </is>
      </c>
      <c r="C41" s="18" t="inlineStr">
        <is>
          <t>213896954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OYARZUN FUENTES BELEN BETZABE</t>
        </is>
      </c>
      <c r="C42" s="18" t="inlineStr">
        <is>
          <t>209730154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PAVLOV VERDUGO KATERINA MIKAELA</t>
        </is>
      </c>
      <c r="C43" s="18" t="inlineStr">
        <is>
          <t>21971761K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QUEVEDO DÍAZ LUIS AMÉRICO</t>
        </is>
      </c>
      <c r="C44" s="18" t="inlineStr">
        <is>
          <t>21273702K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RAMOS CASTILLO ANTONIA ALEJANDRA</t>
        </is>
      </c>
      <c r="C45" s="18" t="inlineStr">
        <is>
          <t>214009692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REBOLLEDO BORQUEZ MARIA IGNACIA</t>
        </is>
      </c>
      <c r="C46" s="18" t="inlineStr">
        <is>
          <t>216609433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RIFFO AGUIRRE MARCELA ALEJANDRA BELEN</t>
        </is>
      </c>
      <c r="C47" s="18" t="inlineStr">
        <is>
          <t>218282423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ROJAS BASUALTO ZINARA ANAIS</t>
        </is>
      </c>
      <c r="C48" s="18" t="inlineStr">
        <is>
          <t>221105176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>
      <c r="A49" s="17" t="n">
        <v>40</v>
      </c>
      <c r="B49" s="18" t="inlineStr">
        <is>
          <t>SALMEN BLANCO MARÍA GABRIELLA</t>
        </is>
      </c>
      <c r="C49" s="18" t="inlineStr">
        <is>
          <t>27669992K</t>
        </is>
      </c>
      <c r="D49" s="1" t="n"/>
      <c r="E49" s="28" t="n"/>
      <c r="F49" s="19" t="n"/>
      <c r="G49" s="19" t="n"/>
      <c r="H49" s="19" t="n"/>
      <c r="I49" s="19" t="n"/>
      <c r="J49" s="19" t="n"/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  <c r="X49" s="19" t="n"/>
      <c r="Y49" s="19" t="n"/>
      <c r="Z49" s="19" t="n"/>
      <c r="AA49" s="19" t="n"/>
      <c r="AB49" s="19" t="n"/>
      <c r="AC49" s="19" t="n"/>
      <c r="AD49" s="19" t="n"/>
      <c r="AE49" s="19" t="n"/>
      <c r="AF49" s="19" t="n"/>
      <c r="AG49" s="19" t="n"/>
      <c r="AH49" s="19" t="n"/>
      <c r="AI49" s="19" t="n"/>
      <c r="AJ49" s="19" t="n"/>
      <c r="AK49" s="19" t="n"/>
      <c r="AL49" s="19" t="n"/>
      <c r="AM49" s="19" t="n"/>
      <c r="AN49" s="19" t="n"/>
      <c r="AO49" s="19" t="n"/>
      <c r="AP49" s="19" t="n"/>
      <c r="AQ49" s="19" t="n"/>
      <c r="AR49" s="19" t="n"/>
      <c r="AS49" s="19" t="n"/>
      <c r="AT49" s="19" t="n"/>
      <c r="AU49" s="19" t="n"/>
      <c r="AV49" s="19" t="n"/>
      <c r="AW49" s="19" t="n"/>
      <c r="AX49" s="19" t="n"/>
      <c r="AY49" s="19" t="n"/>
      <c r="AZ49" s="19" t="n"/>
      <c r="BA49" s="19" t="n"/>
      <c r="BB49" s="19" t="n"/>
      <c r="BC49" s="19" t="n"/>
      <c r="BD49" s="19" t="n"/>
      <c r="BE49" s="19" t="n"/>
      <c r="BF49" s="19" t="n"/>
      <c r="BG49" s="19" t="n"/>
      <c r="BH49" s="19" t="n"/>
      <c r="BI49" s="19" t="n"/>
      <c r="BJ49" s="19" t="n"/>
      <c r="BK49" s="19" t="n"/>
      <c r="BL49" s="29" t="n"/>
      <c r="BM49">
        <f>IFERROR(VLOOKUP(BM$6,Hoja1!$F$2:$XFD$61,E49+4,FALSE),0)</f>
        <v/>
      </c>
      <c r="BN49">
        <f>IFERROR(VLOOKUP(BN$6,Hoja1!$F$2:$XFD$61,F49+4,FALSE),0)</f>
        <v/>
      </c>
      <c r="BO49">
        <f>IFERROR(VLOOKUP(BO$6,Hoja1!$F$2:$XFD$61,G49+4,FALSE),0)</f>
        <v/>
      </c>
      <c r="BP49">
        <f>IFERROR(VLOOKUP(BP$6,Hoja1!$F$2:$XFD$61,H49+4,FALSE),0)</f>
        <v/>
      </c>
      <c r="BQ49">
        <f>IFERROR(VLOOKUP(BQ$6,Hoja1!$F$2:$XFD$61,I49+4,FALSE),0)</f>
        <v/>
      </c>
      <c r="BR49">
        <f>IFERROR(VLOOKUP(BR$6,Hoja1!$F$2:$XFD$61,J49+4,FALSE),0)</f>
        <v/>
      </c>
      <c r="BS49">
        <f>IFERROR(VLOOKUP(BS$6,Hoja1!$F$2:$XFD$61,K49+4,FALSE),0)</f>
        <v/>
      </c>
      <c r="BT49">
        <f>IFERROR(VLOOKUP(BT$6,Hoja1!$F$2:$XFD$61,L49+4,FALSE),0)</f>
        <v/>
      </c>
      <c r="BU49">
        <f>IFERROR(VLOOKUP(BU$6,Hoja1!$F$2:$XFD$61,M49+4,FALSE),0)</f>
        <v/>
      </c>
      <c r="BV49">
        <f>IFERROR(VLOOKUP(BV$6,Hoja1!$F$2:$XFD$61,N49+4,FALSE),0)</f>
        <v/>
      </c>
      <c r="BW49">
        <f>IFERROR(VLOOKUP(BW$6,Hoja1!$F$2:$XFD$61,O49+4,FALSE),0)</f>
        <v/>
      </c>
      <c r="BX49">
        <f>IFERROR(VLOOKUP(BX$6,Hoja1!$F$2:$XFD$61,P49+4,FALSE),0)</f>
        <v/>
      </c>
      <c r="BY49">
        <f>IFERROR(VLOOKUP(BY$6,Hoja1!$F$2:$XFD$61,Q49+4,FALSE),0)</f>
        <v/>
      </c>
      <c r="BZ49">
        <f>IFERROR(VLOOKUP(BZ$6,Hoja1!$F$2:$XFD$61,R49+4,FALSE),0)</f>
        <v/>
      </c>
      <c r="CA49">
        <f>IFERROR(VLOOKUP(CA$6,Hoja1!$F$2:$XFD$61,S49+4,FALSE),0)</f>
        <v/>
      </c>
      <c r="CB49">
        <f>IFERROR(VLOOKUP(CB$6,Hoja1!$F$2:$XFD$61,T49+4,FALSE),0)</f>
        <v/>
      </c>
      <c r="CC49">
        <f>IFERROR(VLOOKUP(CC$6,Hoja1!$F$2:$XFD$61,U49+4,FALSE),0)</f>
        <v/>
      </c>
      <c r="CD49">
        <f>IFERROR(VLOOKUP(CD$6,Hoja1!$F$2:$XFD$61,V49+4,FALSE),0)</f>
        <v/>
      </c>
      <c r="CE49">
        <f>IFERROR(VLOOKUP(CE$6,Hoja1!$F$2:$XFD$61,W49+4,FALSE),0)</f>
        <v/>
      </c>
      <c r="CF49">
        <f>IFERROR(VLOOKUP(CF$6,Hoja1!$F$2:$XFD$61,X49+4,FALSE),0)</f>
        <v/>
      </c>
      <c r="CG49">
        <f>IFERROR(VLOOKUP(CG$6,Hoja1!$F$2:$XFD$61,Y49+4,FALSE),0)</f>
        <v/>
      </c>
      <c r="CH49">
        <f>IFERROR(VLOOKUP(CH$6,Hoja1!$F$2:$XFD$61,Z49+4,FALSE),0)</f>
        <v/>
      </c>
      <c r="CI49">
        <f>IFERROR(VLOOKUP(CI$6,Hoja1!$F$2:$XFD$61,AA49+4,FALSE),0)</f>
        <v/>
      </c>
      <c r="CJ49">
        <f>IFERROR(VLOOKUP(CJ$6,Hoja1!$F$2:$XFD$61,AB49+4,FALSE),0)</f>
        <v/>
      </c>
      <c r="CK49">
        <f>IFERROR(VLOOKUP(CK$6,Hoja1!$F$2:$XFD$61,AC49+4,FALSE),0)</f>
        <v/>
      </c>
      <c r="CL49">
        <f>IFERROR(VLOOKUP(CL$6,Hoja1!$F$2:$XFD$61,AD49+4,FALSE),0)</f>
        <v/>
      </c>
      <c r="CM49">
        <f>IFERROR(VLOOKUP(CM$6,Hoja1!$F$2:$XFD$61,AE49+4,FALSE),0)</f>
        <v/>
      </c>
      <c r="CN49">
        <f>IFERROR(VLOOKUP(CN$6,Hoja1!$F$2:$XFD$61,AF49+4,FALSE),0)</f>
        <v/>
      </c>
      <c r="CO49">
        <f>IFERROR(VLOOKUP(CO$6,Hoja1!$F$2:$XFD$61,AG49+4,FALSE),0)</f>
        <v/>
      </c>
      <c r="CP49">
        <f>IFERROR(VLOOKUP(CP$6,Hoja1!$F$2:$XFD$61,AH49+4,FALSE),0)</f>
        <v/>
      </c>
      <c r="CQ49">
        <f>IFERROR(VLOOKUP(CQ$6,Hoja1!$F$2:$XFD$61,AI49+4,FALSE),0)</f>
        <v/>
      </c>
      <c r="CR49">
        <f>IFERROR(VLOOKUP(CR$6,Hoja1!$F$2:$XFD$61,AJ49+4,FALSE),0)</f>
        <v/>
      </c>
      <c r="CS49">
        <f>IFERROR(VLOOKUP(CS$6,Hoja1!$F$2:$XFD$61,AK49+4,FALSE),0)</f>
        <v/>
      </c>
      <c r="CT49">
        <f>IFERROR(VLOOKUP(CT$6,Hoja1!$F$2:$XFD$61,AL49+4,FALSE),0)</f>
        <v/>
      </c>
      <c r="CU49">
        <f>IFERROR(VLOOKUP(CU$6,Hoja1!$F$2:$XFD$61,AM49+4,FALSE),0)</f>
        <v/>
      </c>
      <c r="CV49">
        <f>IFERROR(VLOOKUP(CV$6,Hoja1!$F$2:$XFD$61,AN49+4,FALSE),0)</f>
        <v/>
      </c>
      <c r="CW49">
        <f>IFERROR(VLOOKUP(CW$6,Hoja1!$F$2:$XFD$61,AO49+4,FALSE),0)</f>
        <v/>
      </c>
      <c r="CX49">
        <f>IFERROR(VLOOKUP(CX$6,Hoja1!$F$2:$XFD$61,AP49+4,FALSE),0)</f>
        <v/>
      </c>
      <c r="CY49">
        <f>IFERROR(VLOOKUP(CY$6,Hoja1!$F$2:$XFD$61,AQ49+4,FALSE),0)</f>
        <v/>
      </c>
      <c r="CZ49">
        <f>IFERROR(VLOOKUP(CZ$6,Hoja1!$F$2:$XFD$61,AR49+4,FALSE),0)</f>
        <v/>
      </c>
      <c r="DA49">
        <f>IFERROR(VLOOKUP(DA$6,Hoja1!$F$2:$XFD$61,AS49+4,FALSE),0)</f>
        <v/>
      </c>
      <c r="DB49">
        <f>IFERROR(VLOOKUP(DB$6,Hoja1!$F$2:$XFD$61,AT49+4,FALSE),0)</f>
        <v/>
      </c>
      <c r="DC49">
        <f>IFERROR(VLOOKUP(DC$6,Hoja1!$F$2:$XFD$61,AU49+4,FALSE),0)</f>
        <v/>
      </c>
      <c r="DD49">
        <f>IFERROR(VLOOKUP(DD$6,Hoja1!$F$2:$XFD$61,AV49+4,FALSE),0)</f>
        <v/>
      </c>
      <c r="DE49">
        <f>IFERROR(VLOOKUP(DE$6,Hoja1!$F$2:$XFD$61,AW49+4,FALSE),0)</f>
        <v/>
      </c>
      <c r="DF49">
        <f>IFERROR(VLOOKUP(DF$6,Hoja1!$F$2:$XFD$61,AX49+4,FALSE),0)</f>
        <v/>
      </c>
      <c r="DG49">
        <f>IFERROR(VLOOKUP(DG$6,Hoja1!$F$2:$XFD$61,AY49+4,FALSE),0)</f>
        <v/>
      </c>
      <c r="DH49">
        <f>IFERROR(VLOOKUP(DH$6,Hoja1!$F$2:$XFD$61,AZ49+4,FALSE),0)</f>
        <v/>
      </c>
      <c r="DI49">
        <f>IFERROR(VLOOKUP(DI$6,Hoja1!$F$2:$XFD$61,BA49+4,FALSE),0)</f>
        <v/>
      </c>
      <c r="DJ49">
        <f>IFERROR(VLOOKUP(DJ$6,Hoja1!$F$2:$XFD$61,BB49+4,FALSE),0)</f>
        <v/>
      </c>
      <c r="DK49">
        <f>IFERROR(VLOOKUP(DK$6,Hoja1!$F$2:$XFD$61,BC49+4,FALSE),0)</f>
        <v/>
      </c>
      <c r="DL49">
        <f>IFERROR(VLOOKUP(DL$6,Hoja1!$F$2:$XFD$61,BD49+4,FALSE),0)</f>
        <v/>
      </c>
      <c r="DM49">
        <f>IFERROR(VLOOKUP(DM$6,Hoja1!$F$2:$XFD$61,BE49+4,FALSE),0)</f>
        <v/>
      </c>
      <c r="DN49">
        <f>IFERROR(VLOOKUP(DN$6,Hoja1!$F$2:$XFD$61,BF49+4,FALSE),0)</f>
        <v/>
      </c>
      <c r="DO49">
        <f>IFERROR(VLOOKUP(DO$6,Hoja1!$F$2:$XFD$61,BG49+4,FALSE),0)</f>
        <v/>
      </c>
      <c r="DP49">
        <f>IFERROR(VLOOKUP(DP$6,Hoja1!$F$2:$XFD$61,BH49+4,FALSE),0)</f>
        <v/>
      </c>
      <c r="DQ49">
        <f>IFERROR(VLOOKUP(DQ$6,Hoja1!$F$2:$XFD$61,BI49+4,FALSE),0)</f>
        <v/>
      </c>
      <c r="DR49">
        <f>IFERROR(VLOOKUP(DR$6,Hoja1!$F$2:$XFD$61,BJ49+4,FALSE),0)</f>
        <v/>
      </c>
      <c r="DS49">
        <f>IFERROR(VLOOKUP(DS$6,Hoja1!$F$2:$XFD$61,BK49+4,FALSE),0)</f>
        <v/>
      </c>
      <c r="DT49">
        <f>IFERROR(VLOOKUP(DT$6,Hoja1!$F$2:$XFD$61,BL49+4,FALSE),0)</f>
        <v/>
      </c>
      <c r="DU49" s="15">
        <f>IF(COUNT(E49:BL49)=$DV$7,IF(D49="","indique grupo",SUM(BM49:DT49)),"")</f>
        <v/>
      </c>
      <c r="DV49" s="16">
        <f>IF(D49&lt;&gt;"",IF(DU49="","",IF(DU49&gt;=$DU$7*Hoja1!$E$2,4+3/($DU$7*(1-Hoja1!$E$2))*(DU49-$DU$7*Hoja1!$E$2),1+3/($DU$7*Hoja1!$E$2)*DU49)),DU49)</f>
        <v/>
      </c>
      <c r="DW49" s="47" t="b">
        <v>0</v>
      </c>
    </row>
    <row r="50" ht="23.25" customHeight="1">
      <c r="A50" s="17" t="n">
        <v>41</v>
      </c>
      <c r="B50" s="18" t="inlineStr">
        <is>
          <t>SALVATIERRA BECERRA IGNACIO PATRICIO</t>
        </is>
      </c>
      <c r="C50" s="18" t="inlineStr">
        <is>
          <t>207835714</t>
        </is>
      </c>
      <c r="D50" s="1" t="n"/>
      <c r="E50" s="28" t="n"/>
      <c r="F50" s="19" t="n"/>
      <c r="G50" s="19" t="n"/>
      <c r="H50" s="19" t="n"/>
      <c r="I50" s="19" t="n"/>
      <c r="J50" s="19" t="n"/>
      <c r="K50" s="19" t="n"/>
      <c r="L50" s="19" t="n"/>
      <c r="M50" s="19" t="n"/>
      <c r="N50" s="19" t="n"/>
      <c r="O50" s="19" t="n"/>
      <c r="P50" s="19" t="n"/>
      <c r="Q50" s="19" t="n"/>
      <c r="R50" s="19" t="n"/>
      <c r="S50" s="19" t="n"/>
      <c r="T50" s="19" t="n"/>
      <c r="U50" s="19" t="n"/>
      <c r="V50" s="19" t="n"/>
      <c r="W50" s="19" t="n"/>
      <c r="X50" s="19" t="n"/>
      <c r="Y50" s="19" t="n"/>
      <c r="Z50" s="19" t="n"/>
      <c r="AA50" s="19" t="n"/>
      <c r="AB50" s="19" t="n"/>
      <c r="AC50" s="19" t="n"/>
      <c r="AD50" s="19" t="n"/>
      <c r="AE50" s="19" t="n"/>
      <c r="AF50" s="19" t="n"/>
      <c r="AG50" s="19" t="n"/>
      <c r="AH50" s="19" t="n"/>
      <c r="AI50" s="19" t="n"/>
      <c r="AJ50" s="19" t="n"/>
      <c r="AK50" s="19" t="n"/>
      <c r="AL50" s="19" t="n"/>
      <c r="AM50" s="19" t="n"/>
      <c r="AN50" s="19" t="n"/>
      <c r="AO50" s="19" t="n"/>
      <c r="AP50" s="19" t="n"/>
      <c r="AQ50" s="19" t="n"/>
      <c r="AR50" s="19" t="n"/>
      <c r="AS50" s="19" t="n"/>
      <c r="AT50" s="19" t="n"/>
      <c r="AU50" s="19" t="n"/>
      <c r="AV50" s="19" t="n"/>
      <c r="AW50" s="19" t="n"/>
      <c r="AX50" s="19" t="n"/>
      <c r="AY50" s="19" t="n"/>
      <c r="AZ50" s="19" t="n"/>
      <c r="BA50" s="19" t="n"/>
      <c r="BB50" s="19" t="n"/>
      <c r="BC50" s="19" t="n"/>
      <c r="BD50" s="19" t="n"/>
      <c r="BE50" s="19" t="n"/>
      <c r="BF50" s="19" t="n"/>
      <c r="BG50" s="19" t="n"/>
      <c r="BH50" s="19" t="n"/>
      <c r="BI50" s="19" t="n"/>
      <c r="BJ50" s="19" t="n"/>
      <c r="BK50" s="19" t="n"/>
      <c r="BL50" s="29" t="n"/>
      <c r="BM50">
        <f>IFERROR(VLOOKUP(BM$6,Hoja1!$F$2:$XFD$61,E50+4,FALSE),0)</f>
        <v/>
      </c>
      <c r="BN50">
        <f>IFERROR(VLOOKUP(BN$6,Hoja1!$F$2:$XFD$61,F50+4,FALSE),0)</f>
        <v/>
      </c>
      <c r="BO50">
        <f>IFERROR(VLOOKUP(BO$6,Hoja1!$F$2:$XFD$61,G50+4,FALSE),0)</f>
        <v/>
      </c>
      <c r="BP50">
        <f>IFERROR(VLOOKUP(BP$6,Hoja1!$F$2:$XFD$61,H50+4,FALSE),0)</f>
        <v/>
      </c>
      <c r="BQ50">
        <f>IFERROR(VLOOKUP(BQ$6,Hoja1!$F$2:$XFD$61,I50+4,FALSE),0)</f>
        <v/>
      </c>
      <c r="BR50">
        <f>IFERROR(VLOOKUP(BR$6,Hoja1!$F$2:$XFD$61,J50+4,FALSE),0)</f>
        <v/>
      </c>
      <c r="BS50">
        <f>IFERROR(VLOOKUP(BS$6,Hoja1!$F$2:$XFD$61,K50+4,FALSE),0)</f>
        <v/>
      </c>
      <c r="BT50">
        <f>IFERROR(VLOOKUP(BT$6,Hoja1!$F$2:$XFD$61,L50+4,FALSE),0)</f>
        <v/>
      </c>
      <c r="BU50">
        <f>IFERROR(VLOOKUP(BU$6,Hoja1!$F$2:$XFD$61,M50+4,FALSE),0)</f>
        <v/>
      </c>
      <c r="BV50">
        <f>IFERROR(VLOOKUP(BV$6,Hoja1!$F$2:$XFD$61,N50+4,FALSE),0)</f>
        <v/>
      </c>
      <c r="BW50">
        <f>IFERROR(VLOOKUP(BW$6,Hoja1!$F$2:$XFD$61,O50+4,FALSE),0)</f>
        <v/>
      </c>
      <c r="BX50">
        <f>IFERROR(VLOOKUP(BX$6,Hoja1!$F$2:$XFD$61,P50+4,FALSE),0)</f>
        <v/>
      </c>
      <c r="BY50">
        <f>IFERROR(VLOOKUP(BY$6,Hoja1!$F$2:$XFD$61,Q50+4,FALSE),0)</f>
        <v/>
      </c>
      <c r="BZ50">
        <f>IFERROR(VLOOKUP(BZ$6,Hoja1!$F$2:$XFD$61,R50+4,FALSE),0)</f>
        <v/>
      </c>
      <c r="CA50">
        <f>IFERROR(VLOOKUP(CA$6,Hoja1!$F$2:$XFD$61,S50+4,FALSE),0)</f>
        <v/>
      </c>
      <c r="CB50">
        <f>IFERROR(VLOOKUP(CB$6,Hoja1!$F$2:$XFD$61,T50+4,FALSE),0)</f>
        <v/>
      </c>
      <c r="CC50">
        <f>IFERROR(VLOOKUP(CC$6,Hoja1!$F$2:$XFD$61,U50+4,FALSE),0)</f>
        <v/>
      </c>
      <c r="CD50">
        <f>IFERROR(VLOOKUP(CD$6,Hoja1!$F$2:$XFD$61,V50+4,FALSE),0)</f>
        <v/>
      </c>
      <c r="CE50">
        <f>IFERROR(VLOOKUP(CE$6,Hoja1!$F$2:$XFD$61,W50+4,FALSE),0)</f>
        <v/>
      </c>
      <c r="CF50">
        <f>IFERROR(VLOOKUP(CF$6,Hoja1!$F$2:$XFD$61,X50+4,FALSE),0)</f>
        <v/>
      </c>
      <c r="CG50">
        <f>IFERROR(VLOOKUP(CG$6,Hoja1!$F$2:$XFD$61,Y50+4,FALSE),0)</f>
        <v/>
      </c>
      <c r="CH50">
        <f>IFERROR(VLOOKUP(CH$6,Hoja1!$F$2:$XFD$61,Z50+4,FALSE),0)</f>
        <v/>
      </c>
      <c r="CI50">
        <f>IFERROR(VLOOKUP(CI$6,Hoja1!$F$2:$XFD$61,AA50+4,FALSE),0)</f>
        <v/>
      </c>
      <c r="CJ50">
        <f>IFERROR(VLOOKUP(CJ$6,Hoja1!$F$2:$XFD$61,AB50+4,FALSE),0)</f>
        <v/>
      </c>
      <c r="CK50">
        <f>IFERROR(VLOOKUP(CK$6,Hoja1!$F$2:$XFD$61,AC50+4,FALSE),0)</f>
        <v/>
      </c>
      <c r="CL50">
        <f>IFERROR(VLOOKUP(CL$6,Hoja1!$F$2:$XFD$61,AD50+4,FALSE),0)</f>
        <v/>
      </c>
      <c r="CM50">
        <f>IFERROR(VLOOKUP(CM$6,Hoja1!$F$2:$XFD$61,AE50+4,FALSE),0)</f>
        <v/>
      </c>
      <c r="CN50">
        <f>IFERROR(VLOOKUP(CN$6,Hoja1!$F$2:$XFD$61,AF50+4,FALSE),0)</f>
        <v/>
      </c>
      <c r="CO50">
        <f>IFERROR(VLOOKUP(CO$6,Hoja1!$F$2:$XFD$61,AG50+4,FALSE),0)</f>
        <v/>
      </c>
      <c r="CP50">
        <f>IFERROR(VLOOKUP(CP$6,Hoja1!$F$2:$XFD$61,AH50+4,FALSE),0)</f>
        <v/>
      </c>
      <c r="CQ50">
        <f>IFERROR(VLOOKUP(CQ$6,Hoja1!$F$2:$XFD$61,AI50+4,FALSE),0)</f>
        <v/>
      </c>
      <c r="CR50">
        <f>IFERROR(VLOOKUP(CR$6,Hoja1!$F$2:$XFD$61,AJ50+4,FALSE),0)</f>
        <v/>
      </c>
      <c r="CS50">
        <f>IFERROR(VLOOKUP(CS$6,Hoja1!$F$2:$XFD$61,AK50+4,FALSE),0)</f>
        <v/>
      </c>
      <c r="CT50">
        <f>IFERROR(VLOOKUP(CT$6,Hoja1!$F$2:$XFD$61,AL50+4,FALSE),0)</f>
        <v/>
      </c>
      <c r="CU50">
        <f>IFERROR(VLOOKUP(CU$6,Hoja1!$F$2:$XFD$61,AM50+4,FALSE),0)</f>
        <v/>
      </c>
      <c r="CV50">
        <f>IFERROR(VLOOKUP(CV$6,Hoja1!$F$2:$XFD$61,AN50+4,FALSE),0)</f>
        <v/>
      </c>
      <c r="CW50">
        <f>IFERROR(VLOOKUP(CW$6,Hoja1!$F$2:$XFD$61,AO50+4,FALSE),0)</f>
        <v/>
      </c>
      <c r="CX50">
        <f>IFERROR(VLOOKUP(CX$6,Hoja1!$F$2:$XFD$61,AP50+4,FALSE),0)</f>
        <v/>
      </c>
      <c r="CY50">
        <f>IFERROR(VLOOKUP(CY$6,Hoja1!$F$2:$XFD$61,AQ50+4,FALSE),0)</f>
        <v/>
      </c>
      <c r="CZ50">
        <f>IFERROR(VLOOKUP(CZ$6,Hoja1!$F$2:$XFD$61,AR50+4,FALSE),0)</f>
        <v/>
      </c>
      <c r="DA50">
        <f>IFERROR(VLOOKUP(DA$6,Hoja1!$F$2:$XFD$61,AS50+4,FALSE),0)</f>
        <v/>
      </c>
      <c r="DB50">
        <f>IFERROR(VLOOKUP(DB$6,Hoja1!$F$2:$XFD$61,AT50+4,FALSE),0)</f>
        <v/>
      </c>
      <c r="DC50">
        <f>IFERROR(VLOOKUP(DC$6,Hoja1!$F$2:$XFD$61,AU50+4,FALSE),0)</f>
        <v/>
      </c>
      <c r="DD50">
        <f>IFERROR(VLOOKUP(DD$6,Hoja1!$F$2:$XFD$61,AV50+4,FALSE),0)</f>
        <v/>
      </c>
      <c r="DE50">
        <f>IFERROR(VLOOKUP(DE$6,Hoja1!$F$2:$XFD$61,AW50+4,FALSE),0)</f>
        <v/>
      </c>
      <c r="DF50">
        <f>IFERROR(VLOOKUP(DF$6,Hoja1!$F$2:$XFD$61,AX50+4,FALSE),0)</f>
        <v/>
      </c>
      <c r="DG50">
        <f>IFERROR(VLOOKUP(DG$6,Hoja1!$F$2:$XFD$61,AY50+4,FALSE),0)</f>
        <v/>
      </c>
      <c r="DH50">
        <f>IFERROR(VLOOKUP(DH$6,Hoja1!$F$2:$XFD$61,AZ50+4,FALSE),0)</f>
        <v/>
      </c>
      <c r="DI50">
        <f>IFERROR(VLOOKUP(DI$6,Hoja1!$F$2:$XFD$61,BA50+4,FALSE),0)</f>
        <v/>
      </c>
      <c r="DJ50">
        <f>IFERROR(VLOOKUP(DJ$6,Hoja1!$F$2:$XFD$61,BB50+4,FALSE),0)</f>
        <v/>
      </c>
      <c r="DK50">
        <f>IFERROR(VLOOKUP(DK$6,Hoja1!$F$2:$XFD$61,BC50+4,FALSE),0)</f>
        <v/>
      </c>
      <c r="DL50">
        <f>IFERROR(VLOOKUP(DL$6,Hoja1!$F$2:$XFD$61,BD50+4,FALSE),0)</f>
        <v/>
      </c>
      <c r="DM50">
        <f>IFERROR(VLOOKUP(DM$6,Hoja1!$F$2:$XFD$61,BE50+4,FALSE),0)</f>
        <v/>
      </c>
      <c r="DN50">
        <f>IFERROR(VLOOKUP(DN$6,Hoja1!$F$2:$XFD$61,BF50+4,FALSE),0)</f>
        <v/>
      </c>
      <c r="DO50">
        <f>IFERROR(VLOOKUP(DO$6,Hoja1!$F$2:$XFD$61,BG50+4,FALSE),0)</f>
        <v/>
      </c>
      <c r="DP50">
        <f>IFERROR(VLOOKUP(DP$6,Hoja1!$F$2:$XFD$61,BH50+4,FALSE),0)</f>
        <v/>
      </c>
      <c r="DQ50">
        <f>IFERROR(VLOOKUP(DQ$6,Hoja1!$F$2:$XFD$61,BI50+4,FALSE),0)</f>
        <v/>
      </c>
      <c r="DR50">
        <f>IFERROR(VLOOKUP(DR$6,Hoja1!$F$2:$XFD$61,BJ50+4,FALSE),0)</f>
        <v/>
      </c>
      <c r="DS50">
        <f>IFERROR(VLOOKUP(DS$6,Hoja1!$F$2:$XFD$61,BK50+4,FALSE),0)</f>
        <v/>
      </c>
      <c r="DT50">
        <f>IFERROR(VLOOKUP(DT$6,Hoja1!$F$2:$XFD$61,BL50+4,FALSE),0)</f>
        <v/>
      </c>
      <c r="DU50" s="15">
        <f>IF(COUNT(E50:BL50)=$DV$7,IF(D50="","indique grupo",SUM(BM50:DT50)),"")</f>
        <v/>
      </c>
      <c r="DV50" s="16">
        <f>IF(D50&lt;&gt;"",IF(DU50="","",IF(DU50&gt;=$DU$7*Hoja1!$E$2,4+3/($DU$7*(1-Hoja1!$E$2))*(DU50-$DU$7*Hoja1!$E$2),1+3/($DU$7*Hoja1!$E$2)*DU50)),DU50)</f>
        <v/>
      </c>
      <c r="DW50" s="47" t="b">
        <v>0</v>
      </c>
    </row>
    <row r="51" ht="23.25" customHeight="1">
      <c r="A51" s="17" t="n">
        <v>42</v>
      </c>
      <c r="B51" s="18" t="inlineStr">
        <is>
          <t>SANDOVAL CARVAJAL JUAN ANTONIO</t>
        </is>
      </c>
      <c r="C51" s="18" t="inlineStr">
        <is>
          <t>215751252</t>
        </is>
      </c>
      <c r="D51" s="1" t="n"/>
      <c r="E51" s="28" t="n"/>
      <c r="F51" s="19" t="n"/>
      <c r="G51" s="19" t="n"/>
      <c r="H51" s="19" t="n"/>
      <c r="I51" s="19" t="n"/>
      <c r="J51" s="19" t="n"/>
      <c r="K51" s="19" t="n"/>
      <c r="L51" s="19" t="n"/>
      <c r="M51" s="19" t="n"/>
      <c r="N51" s="19" t="n"/>
      <c r="O51" s="19" t="n"/>
      <c r="P51" s="19" t="n"/>
      <c r="Q51" s="19" t="n"/>
      <c r="R51" s="19" t="n"/>
      <c r="S51" s="19" t="n"/>
      <c r="T51" s="19" t="n"/>
      <c r="U51" s="19" t="n"/>
      <c r="V51" s="19" t="n"/>
      <c r="W51" s="19" t="n"/>
      <c r="X51" s="19" t="n"/>
      <c r="Y51" s="19" t="n"/>
      <c r="Z51" s="19" t="n"/>
      <c r="AA51" s="19" t="n"/>
      <c r="AB51" s="19" t="n"/>
      <c r="AC51" s="19" t="n"/>
      <c r="AD51" s="19" t="n"/>
      <c r="AE51" s="19" t="n"/>
      <c r="AF51" s="19" t="n"/>
      <c r="AG51" s="19" t="n"/>
      <c r="AH51" s="19" t="n"/>
      <c r="AI51" s="19" t="n"/>
      <c r="AJ51" s="19" t="n"/>
      <c r="AK51" s="19" t="n"/>
      <c r="AL51" s="19" t="n"/>
      <c r="AM51" s="19" t="n"/>
      <c r="AN51" s="19" t="n"/>
      <c r="AO51" s="19" t="n"/>
      <c r="AP51" s="19" t="n"/>
      <c r="AQ51" s="19" t="n"/>
      <c r="AR51" s="19" t="n"/>
      <c r="AS51" s="19" t="n"/>
      <c r="AT51" s="19" t="n"/>
      <c r="AU51" s="19" t="n"/>
      <c r="AV51" s="19" t="n"/>
      <c r="AW51" s="19" t="n"/>
      <c r="AX51" s="19" t="n"/>
      <c r="AY51" s="19" t="n"/>
      <c r="AZ51" s="19" t="n"/>
      <c r="BA51" s="19" t="n"/>
      <c r="BB51" s="19" t="n"/>
      <c r="BC51" s="19" t="n"/>
      <c r="BD51" s="19" t="n"/>
      <c r="BE51" s="19" t="n"/>
      <c r="BF51" s="19" t="n"/>
      <c r="BG51" s="19" t="n"/>
      <c r="BH51" s="19" t="n"/>
      <c r="BI51" s="19" t="n"/>
      <c r="BJ51" s="19" t="n"/>
      <c r="BK51" s="19" t="n"/>
      <c r="BL51" s="29" t="n"/>
      <c r="BM51">
        <f>IFERROR(VLOOKUP(BM$6,Hoja1!$F$2:$XFD$61,E51+4,FALSE),0)</f>
        <v/>
      </c>
      <c r="BN51">
        <f>IFERROR(VLOOKUP(BN$6,Hoja1!$F$2:$XFD$61,F51+4,FALSE),0)</f>
        <v/>
      </c>
      <c r="BO51">
        <f>IFERROR(VLOOKUP(BO$6,Hoja1!$F$2:$XFD$61,G51+4,FALSE),0)</f>
        <v/>
      </c>
      <c r="BP51">
        <f>IFERROR(VLOOKUP(BP$6,Hoja1!$F$2:$XFD$61,H51+4,FALSE),0)</f>
        <v/>
      </c>
      <c r="BQ51">
        <f>IFERROR(VLOOKUP(BQ$6,Hoja1!$F$2:$XFD$61,I51+4,FALSE),0)</f>
        <v/>
      </c>
      <c r="BR51">
        <f>IFERROR(VLOOKUP(BR$6,Hoja1!$F$2:$XFD$61,J51+4,FALSE),0)</f>
        <v/>
      </c>
      <c r="BS51">
        <f>IFERROR(VLOOKUP(BS$6,Hoja1!$F$2:$XFD$61,K51+4,FALSE),0)</f>
        <v/>
      </c>
      <c r="BT51">
        <f>IFERROR(VLOOKUP(BT$6,Hoja1!$F$2:$XFD$61,L51+4,FALSE),0)</f>
        <v/>
      </c>
      <c r="BU51">
        <f>IFERROR(VLOOKUP(BU$6,Hoja1!$F$2:$XFD$61,M51+4,FALSE),0)</f>
        <v/>
      </c>
      <c r="BV51">
        <f>IFERROR(VLOOKUP(BV$6,Hoja1!$F$2:$XFD$61,N51+4,FALSE),0)</f>
        <v/>
      </c>
      <c r="BW51">
        <f>IFERROR(VLOOKUP(BW$6,Hoja1!$F$2:$XFD$61,O51+4,FALSE),0)</f>
        <v/>
      </c>
      <c r="BX51">
        <f>IFERROR(VLOOKUP(BX$6,Hoja1!$F$2:$XFD$61,P51+4,FALSE),0)</f>
        <v/>
      </c>
      <c r="BY51">
        <f>IFERROR(VLOOKUP(BY$6,Hoja1!$F$2:$XFD$61,Q51+4,FALSE),0)</f>
        <v/>
      </c>
      <c r="BZ51">
        <f>IFERROR(VLOOKUP(BZ$6,Hoja1!$F$2:$XFD$61,R51+4,FALSE),0)</f>
        <v/>
      </c>
      <c r="CA51">
        <f>IFERROR(VLOOKUP(CA$6,Hoja1!$F$2:$XFD$61,S51+4,FALSE),0)</f>
        <v/>
      </c>
      <c r="CB51">
        <f>IFERROR(VLOOKUP(CB$6,Hoja1!$F$2:$XFD$61,T51+4,FALSE),0)</f>
        <v/>
      </c>
      <c r="CC51">
        <f>IFERROR(VLOOKUP(CC$6,Hoja1!$F$2:$XFD$61,U51+4,FALSE),0)</f>
        <v/>
      </c>
      <c r="CD51">
        <f>IFERROR(VLOOKUP(CD$6,Hoja1!$F$2:$XFD$61,V51+4,FALSE),0)</f>
        <v/>
      </c>
      <c r="CE51">
        <f>IFERROR(VLOOKUP(CE$6,Hoja1!$F$2:$XFD$61,W51+4,FALSE),0)</f>
        <v/>
      </c>
      <c r="CF51">
        <f>IFERROR(VLOOKUP(CF$6,Hoja1!$F$2:$XFD$61,X51+4,FALSE),0)</f>
        <v/>
      </c>
      <c r="CG51">
        <f>IFERROR(VLOOKUP(CG$6,Hoja1!$F$2:$XFD$61,Y51+4,FALSE),0)</f>
        <v/>
      </c>
      <c r="CH51">
        <f>IFERROR(VLOOKUP(CH$6,Hoja1!$F$2:$XFD$61,Z51+4,FALSE),0)</f>
        <v/>
      </c>
      <c r="CI51">
        <f>IFERROR(VLOOKUP(CI$6,Hoja1!$F$2:$XFD$61,AA51+4,FALSE),0)</f>
        <v/>
      </c>
      <c r="CJ51">
        <f>IFERROR(VLOOKUP(CJ$6,Hoja1!$F$2:$XFD$61,AB51+4,FALSE),0)</f>
        <v/>
      </c>
      <c r="CK51">
        <f>IFERROR(VLOOKUP(CK$6,Hoja1!$F$2:$XFD$61,AC51+4,FALSE),0)</f>
        <v/>
      </c>
      <c r="CL51">
        <f>IFERROR(VLOOKUP(CL$6,Hoja1!$F$2:$XFD$61,AD51+4,FALSE),0)</f>
        <v/>
      </c>
      <c r="CM51">
        <f>IFERROR(VLOOKUP(CM$6,Hoja1!$F$2:$XFD$61,AE51+4,FALSE),0)</f>
        <v/>
      </c>
      <c r="CN51">
        <f>IFERROR(VLOOKUP(CN$6,Hoja1!$F$2:$XFD$61,AF51+4,FALSE),0)</f>
        <v/>
      </c>
      <c r="CO51">
        <f>IFERROR(VLOOKUP(CO$6,Hoja1!$F$2:$XFD$61,AG51+4,FALSE),0)</f>
        <v/>
      </c>
      <c r="CP51">
        <f>IFERROR(VLOOKUP(CP$6,Hoja1!$F$2:$XFD$61,AH51+4,FALSE),0)</f>
        <v/>
      </c>
      <c r="CQ51">
        <f>IFERROR(VLOOKUP(CQ$6,Hoja1!$F$2:$XFD$61,AI51+4,FALSE),0)</f>
        <v/>
      </c>
      <c r="CR51">
        <f>IFERROR(VLOOKUP(CR$6,Hoja1!$F$2:$XFD$61,AJ51+4,FALSE),0)</f>
        <v/>
      </c>
      <c r="CS51">
        <f>IFERROR(VLOOKUP(CS$6,Hoja1!$F$2:$XFD$61,AK51+4,FALSE),0)</f>
        <v/>
      </c>
      <c r="CT51">
        <f>IFERROR(VLOOKUP(CT$6,Hoja1!$F$2:$XFD$61,AL51+4,FALSE),0)</f>
        <v/>
      </c>
      <c r="CU51">
        <f>IFERROR(VLOOKUP(CU$6,Hoja1!$F$2:$XFD$61,AM51+4,FALSE),0)</f>
        <v/>
      </c>
      <c r="CV51">
        <f>IFERROR(VLOOKUP(CV$6,Hoja1!$F$2:$XFD$61,AN51+4,FALSE),0)</f>
        <v/>
      </c>
      <c r="CW51">
        <f>IFERROR(VLOOKUP(CW$6,Hoja1!$F$2:$XFD$61,AO51+4,FALSE),0)</f>
        <v/>
      </c>
      <c r="CX51">
        <f>IFERROR(VLOOKUP(CX$6,Hoja1!$F$2:$XFD$61,AP51+4,FALSE),0)</f>
        <v/>
      </c>
      <c r="CY51">
        <f>IFERROR(VLOOKUP(CY$6,Hoja1!$F$2:$XFD$61,AQ51+4,FALSE),0)</f>
        <v/>
      </c>
      <c r="CZ51">
        <f>IFERROR(VLOOKUP(CZ$6,Hoja1!$F$2:$XFD$61,AR51+4,FALSE),0)</f>
        <v/>
      </c>
      <c r="DA51">
        <f>IFERROR(VLOOKUP(DA$6,Hoja1!$F$2:$XFD$61,AS51+4,FALSE),0)</f>
        <v/>
      </c>
      <c r="DB51">
        <f>IFERROR(VLOOKUP(DB$6,Hoja1!$F$2:$XFD$61,AT51+4,FALSE),0)</f>
        <v/>
      </c>
      <c r="DC51">
        <f>IFERROR(VLOOKUP(DC$6,Hoja1!$F$2:$XFD$61,AU51+4,FALSE),0)</f>
        <v/>
      </c>
      <c r="DD51">
        <f>IFERROR(VLOOKUP(DD$6,Hoja1!$F$2:$XFD$61,AV51+4,FALSE),0)</f>
        <v/>
      </c>
      <c r="DE51">
        <f>IFERROR(VLOOKUP(DE$6,Hoja1!$F$2:$XFD$61,AW51+4,FALSE),0)</f>
        <v/>
      </c>
      <c r="DF51">
        <f>IFERROR(VLOOKUP(DF$6,Hoja1!$F$2:$XFD$61,AX51+4,FALSE),0)</f>
        <v/>
      </c>
      <c r="DG51">
        <f>IFERROR(VLOOKUP(DG$6,Hoja1!$F$2:$XFD$61,AY51+4,FALSE),0)</f>
        <v/>
      </c>
      <c r="DH51">
        <f>IFERROR(VLOOKUP(DH$6,Hoja1!$F$2:$XFD$61,AZ51+4,FALSE),0)</f>
        <v/>
      </c>
      <c r="DI51">
        <f>IFERROR(VLOOKUP(DI$6,Hoja1!$F$2:$XFD$61,BA51+4,FALSE),0)</f>
        <v/>
      </c>
      <c r="DJ51">
        <f>IFERROR(VLOOKUP(DJ$6,Hoja1!$F$2:$XFD$61,BB51+4,FALSE),0)</f>
        <v/>
      </c>
      <c r="DK51">
        <f>IFERROR(VLOOKUP(DK$6,Hoja1!$F$2:$XFD$61,BC51+4,FALSE),0)</f>
        <v/>
      </c>
      <c r="DL51">
        <f>IFERROR(VLOOKUP(DL$6,Hoja1!$F$2:$XFD$61,BD51+4,FALSE),0)</f>
        <v/>
      </c>
      <c r="DM51">
        <f>IFERROR(VLOOKUP(DM$6,Hoja1!$F$2:$XFD$61,BE51+4,FALSE),0)</f>
        <v/>
      </c>
      <c r="DN51">
        <f>IFERROR(VLOOKUP(DN$6,Hoja1!$F$2:$XFD$61,BF51+4,FALSE),0)</f>
        <v/>
      </c>
      <c r="DO51">
        <f>IFERROR(VLOOKUP(DO$6,Hoja1!$F$2:$XFD$61,BG51+4,FALSE),0)</f>
        <v/>
      </c>
      <c r="DP51">
        <f>IFERROR(VLOOKUP(DP$6,Hoja1!$F$2:$XFD$61,BH51+4,FALSE),0)</f>
        <v/>
      </c>
      <c r="DQ51">
        <f>IFERROR(VLOOKUP(DQ$6,Hoja1!$F$2:$XFD$61,BI51+4,FALSE),0)</f>
        <v/>
      </c>
      <c r="DR51">
        <f>IFERROR(VLOOKUP(DR$6,Hoja1!$F$2:$XFD$61,BJ51+4,FALSE),0)</f>
        <v/>
      </c>
      <c r="DS51">
        <f>IFERROR(VLOOKUP(DS$6,Hoja1!$F$2:$XFD$61,BK51+4,FALSE),0)</f>
        <v/>
      </c>
      <c r="DT51">
        <f>IFERROR(VLOOKUP(DT$6,Hoja1!$F$2:$XFD$61,BL51+4,FALSE),0)</f>
        <v/>
      </c>
      <c r="DU51" s="15">
        <f>IF(COUNT(E51:BL51)=$DV$7,IF(D51="","indique grupo",SUM(BM51:DT51)),"")</f>
        <v/>
      </c>
      <c r="DV51" s="16">
        <f>IF(D51&lt;&gt;"",IF(DU51="","",IF(DU51&gt;=$DU$7*Hoja1!$E$2,4+3/($DU$7*(1-Hoja1!$E$2))*(DU51-$DU$7*Hoja1!$E$2),1+3/($DU$7*Hoja1!$E$2)*DU51)),DU51)</f>
        <v/>
      </c>
      <c r="DW51" s="47" t="b">
        <v>0</v>
      </c>
    </row>
    <row r="52" ht="23.25" customHeight="1">
      <c r="A52" s="17" t="n">
        <v>43</v>
      </c>
      <c r="B52" s="18" t="inlineStr">
        <is>
          <t>SILVA FLORES SEBASTIAN ANDRES</t>
        </is>
      </c>
      <c r="C52" s="18" t="inlineStr">
        <is>
          <t>211167130</t>
        </is>
      </c>
      <c r="D52" s="1" t="n"/>
      <c r="E52" s="28" t="n"/>
      <c r="F52" s="19" t="n"/>
      <c r="G52" s="19" t="n"/>
      <c r="H52" s="19" t="n"/>
      <c r="I52" s="19" t="n"/>
      <c r="J52" s="19" t="n"/>
      <c r="K52" s="19" t="n"/>
      <c r="L52" s="19" t="n"/>
      <c r="M52" s="19" t="n"/>
      <c r="N52" s="19" t="n"/>
      <c r="O52" s="19" t="n"/>
      <c r="P52" s="19" t="n"/>
      <c r="Q52" s="19" t="n"/>
      <c r="R52" s="19" t="n"/>
      <c r="S52" s="19" t="n"/>
      <c r="T52" s="19" t="n"/>
      <c r="U52" s="19" t="n"/>
      <c r="V52" s="19" t="n"/>
      <c r="W52" s="19" t="n"/>
      <c r="X52" s="19" t="n"/>
      <c r="Y52" s="19" t="n"/>
      <c r="Z52" s="19" t="n"/>
      <c r="AA52" s="19" t="n"/>
      <c r="AB52" s="19" t="n"/>
      <c r="AC52" s="19" t="n"/>
      <c r="AD52" s="19" t="n"/>
      <c r="AE52" s="19" t="n"/>
      <c r="AF52" s="19" t="n"/>
      <c r="AG52" s="19" t="n"/>
      <c r="AH52" s="19" t="n"/>
      <c r="AI52" s="19" t="n"/>
      <c r="AJ52" s="19" t="n"/>
      <c r="AK52" s="19" t="n"/>
      <c r="AL52" s="19" t="n"/>
      <c r="AM52" s="19" t="n"/>
      <c r="AN52" s="19" t="n"/>
      <c r="AO52" s="19" t="n"/>
      <c r="AP52" s="19" t="n"/>
      <c r="AQ52" s="19" t="n"/>
      <c r="AR52" s="19" t="n"/>
      <c r="AS52" s="19" t="n"/>
      <c r="AT52" s="19" t="n"/>
      <c r="AU52" s="19" t="n"/>
      <c r="AV52" s="19" t="n"/>
      <c r="AW52" s="19" t="n"/>
      <c r="AX52" s="19" t="n"/>
      <c r="AY52" s="19" t="n"/>
      <c r="AZ52" s="19" t="n"/>
      <c r="BA52" s="19" t="n"/>
      <c r="BB52" s="19" t="n"/>
      <c r="BC52" s="19" t="n"/>
      <c r="BD52" s="19" t="n"/>
      <c r="BE52" s="19" t="n"/>
      <c r="BF52" s="19" t="n"/>
      <c r="BG52" s="19" t="n"/>
      <c r="BH52" s="19" t="n"/>
      <c r="BI52" s="19" t="n"/>
      <c r="BJ52" s="19" t="n"/>
      <c r="BK52" s="19" t="n"/>
      <c r="BL52" s="29" t="n"/>
      <c r="BM52">
        <f>IFERROR(VLOOKUP(BM$6,Hoja1!$F$2:$XFD$61,E52+4,FALSE),0)</f>
        <v/>
      </c>
      <c r="BN52">
        <f>IFERROR(VLOOKUP(BN$6,Hoja1!$F$2:$XFD$61,F52+4,FALSE),0)</f>
        <v/>
      </c>
      <c r="BO52">
        <f>IFERROR(VLOOKUP(BO$6,Hoja1!$F$2:$XFD$61,G52+4,FALSE),0)</f>
        <v/>
      </c>
      <c r="BP52">
        <f>IFERROR(VLOOKUP(BP$6,Hoja1!$F$2:$XFD$61,H52+4,FALSE),0)</f>
        <v/>
      </c>
      <c r="BQ52">
        <f>IFERROR(VLOOKUP(BQ$6,Hoja1!$F$2:$XFD$61,I52+4,FALSE),0)</f>
        <v/>
      </c>
      <c r="BR52">
        <f>IFERROR(VLOOKUP(BR$6,Hoja1!$F$2:$XFD$61,J52+4,FALSE),0)</f>
        <v/>
      </c>
      <c r="BS52">
        <f>IFERROR(VLOOKUP(BS$6,Hoja1!$F$2:$XFD$61,K52+4,FALSE),0)</f>
        <v/>
      </c>
      <c r="BT52">
        <f>IFERROR(VLOOKUP(BT$6,Hoja1!$F$2:$XFD$61,L52+4,FALSE),0)</f>
        <v/>
      </c>
      <c r="BU52">
        <f>IFERROR(VLOOKUP(BU$6,Hoja1!$F$2:$XFD$61,M52+4,FALSE),0)</f>
        <v/>
      </c>
      <c r="BV52">
        <f>IFERROR(VLOOKUP(BV$6,Hoja1!$F$2:$XFD$61,N52+4,FALSE),0)</f>
        <v/>
      </c>
      <c r="BW52">
        <f>IFERROR(VLOOKUP(BW$6,Hoja1!$F$2:$XFD$61,O52+4,FALSE),0)</f>
        <v/>
      </c>
      <c r="BX52">
        <f>IFERROR(VLOOKUP(BX$6,Hoja1!$F$2:$XFD$61,P52+4,FALSE),0)</f>
        <v/>
      </c>
      <c r="BY52">
        <f>IFERROR(VLOOKUP(BY$6,Hoja1!$F$2:$XFD$61,Q52+4,FALSE),0)</f>
        <v/>
      </c>
      <c r="BZ52">
        <f>IFERROR(VLOOKUP(BZ$6,Hoja1!$F$2:$XFD$61,R52+4,FALSE),0)</f>
        <v/>
      </c>
      <c r="CA52">
        <f>IFERROR(VLOOKUP(CA$6,Hoja1!$F$2:$XFD$61,S52+4,FALSE),0)</f>
        <v/>
      </c>
      <c r="CB52">
        <f>IFERROR(VLOOKUP(CB$6,Hoja1!$F$2:$XFD$61,T52+4,FALSE),0)</f>
        <v/>
      </c>
      <c r="CC52">
        <f>IFERROR(VLOOKUP(CC$6,Hoja1!$F$2:$XFD$61,U52+4,FALSE),0)</f>
        <v/>
      </c>
      <c r="CD52">
        <f>IFERROR(VLOOKUP(CD$6,Hoja1!$F$2:$XFD$61,V52+4,FALSE),0)</f>
        <v/>
      </c>
      <c r="CE52">
        <f>IFERROR(VLOOKUP(CE$6,Hoja1!$F$2:$XFD$61,W52+4,FALSE),0)</f>
        <v/>
      </c>
      <c r="CF52">
        <f>IFERROR(VLOOKUP(CF$6,Hoja1!$F$2:$XFD$61,X52+4,FALSE),0)</f>
        <v/>
      </c>
      <c r="CG52">
        <f>IFERROR(VLOOKUP(CG$6,Hoja1!$F$2:$XFD$61,Y52+4,FALSE),0)</f>
        <v/>
      </c>
      <c r="CH52">
        <f>IFERROR(VLOOKUP(CH$6,Hoja1!$F$2:$XFD$61,Z52+4,FALSE),0)</f>
        <v/>
      </c>
      <c r="CI52">
        <f>IFERROR(VLOOKUP(CI$6,Hoja1!$F$2:$XFD$61,AA52+4,FALSE),0)</f>
        <v/>
      </c>
      <c r="CJ52">
        <f>IFERROR(VLOOKUP(CJ$6,Hoja1!$F$2:$XFD$61,AB52+4,FALSE),0)</f>
        <v/>
      </c>
      <c r="CK52">
        <f>IFERROR(VLOOKUP(CK$6,Hoja1!$F$2:$XFD$61,AC52+4,FALSE),0)</f>
        <v/>
      </c>
      <c r="CL52">
        <f>IFERROR(VLOOKUP(CL$6,Hoja1!$F$2:$XFD$61,AD52+4,FALSE),0)</f>
        <v/>
      </c>
      <c r="CM52">
        <f>IFERROR(VLOOKUP(CM$6,Hoja1!$F$2:$XFD$61,AE52+4,FALSE),0)</f>
        <v/>
      </c>
      <c r="CN52">
        <f>IFERROR(VLOOKUP(CN$6,Hoja1!$F$2:$XFD$61,AF52+4,FALSE),0)</f>
        <v/>
      </c>
      <c r="CO52">
        <f>IFERROR(VLOOKUP(CO$6,Hoja1!$F$2:$XFD$61,AG52+4,FALSE),0)</f>
        <v/>
      </c>
      <c r="CP52">
        <f>IFERROR(VLOOKUP(CP$6,Hoja1!$F$2:$XFD$61,AH52+4,FALSE),0)</f>
        <v/>
      </c>
      <c r="CQ52">
        <f>IFERROR(VLOOKUP(CQ$6,Hoja1!$F$2:$XFD$61,AI52+4,FALSE),0)</f>
        <v/>
      </c>
      <c r="CR52">
        <f>IFERROR(VLOOKUP(CR$6,Hoja1!$F$2:$XFD$61,AJ52+4,FALSE),0)</f>
        <v/>
      </c>
      <c r="CS52">
        <f>IFERROR(VLOOKUP(CS$6,Hoja1!$F$2:$XFD$61,AK52+4,FALSE),0)</f>
        <v/>
      </c>
      <c r="CT52">
        <f>IFERROR(VLOOKUP(CT$6,Hoja1!$F$2:$XFD$61,AL52+4,FALSE),0)</f>
        <v/>
      </c>
      <c r="CU52">
        <f>IFERROR(VLOOKUP(CU$6,Hoja1!$F$2:$XFD$61,AM52+4,FALSE),0)</f>
        <v/>
      </c>
      <c r="CV52">
        <f>IFERROR(VLOOKUP(CV$6,Hoja1!$F$2:$XFD$61,AN52+4,FALSE),0)</f>
        <v/>
      </c>
      <c r="CW52">
        <f>IFERROR(VLOOKUP(CW$6,Hoja1!$F$2:$XFD$61,AO52+4,FALSE),0)</f>
        <v/>
      </c>
      <c r="CX52">
        <f>IFERROR(VLOOKUP(CX$6,Hoja1!$F$2:$XFD$61,AP52+4,FALSE),0)</f>
        <v/>
      </c>
      <c r="CY52">
        <f>IFERROR(VLOOKUP(CY$6,Hoja1!$F$2:$XFD$61,AQ52+4,FALSE),0)</f>
        <v/>
      </c>
      <c r="CZ52">
        <f>IFERROR(VLOOKUP(CZ$6,Hoja1!$F$2:$XFD$61,AR52+4,FALSE),0)</f>
        <v/>
      </c>
      <c r="DA52">
        <f>IFERROR(VLOOKUP(DA$6,Hoja1!$F$2:$XFD$61,AS52+4,FALSE),0)</f>
        <v/>
      </c>
      <c r="DB52">
        <f>IFERROR(VLOOKUP(DB$6,Hoja1!$F$2:$XFD$61,AT52+4,FALSE),0)</f>
        <v/>
      </c>
      <c r="DC52">
        <f>IFERROR(VLOOKUP(DC$6,Hoja1!$F$2:$XFD$61,AU52+4,FALSE),0)</f>
        <v/>
      </c>
      <c r="DD52">
        <f>IFERROR(VLOOKUP(DD$6,Hoja1!$F$2:$XFD$61,AV52+4,FALSE),0)</f>
        <v/>
      </c>
      <c r="DE52">
        <f>IFERROR(VLOOKUP(DE$6,Hoja1!$F$2:$XFD$61,AW52+4,FALSE),0)</f>
        <v/>
      </c>
      <c r="DF52">
        <f>IFERROR(VLOOKUP(DF$6,Hoja1!$F$2:$XFD$61,AX52+4,FALSE),0)</f>
        <v/>
      </c>
      <c r="DG52">
        <f>IFERROR(VLOOKUP(DG$6,Hoja1!$F$2:$XFD$61,AY52+4,FALSE),0)</f>
        <v/>
      </c>
      <c r="DH52">
        <f>IFERROR(VLOOKUP(DH$6,Hoja1!$F$2:$XFD$61,AZ52+4,FALSE),0)</f>
        <v/>
      </c>
      <c r="DI52">
        <f>IFERROR(VLOOKUP(DI$6,Hoja1!$F$2:$XFD$61,BA52+4,FALSE),0)</f>
        <v/>
      </c>
      <c r="DJ52">
        <f>IFERROR(VLOOKUP(DJ$6,Hoja1!$F$2:$XFD$61,BB52+4,FALSE),0)</f>
        <v/>
      </c>
      <c r="DK52">
        <f>IFERROR(VLOOKUP(DK$6,Hoja1!$F$2:$XFD$61,BC52+4,FALSE),0)</f>
        <v/>
      </c>
      <c r="DL52">
        <f>IFERROR(VLOOKUP(DL$6,Hoja1!$F$2:$XFD$61,BD52+4,FALSE),0)</f>
        <v/>
      </c>
      <c r="DM52">
        <f>IFERROR(VLOOKUP(DM$6,Hoja1!$F$2:$XFD$61,BE52+4,FALSE),0)</f>
        <v/>
      </c>
      <c r="DN52">
        <f>IFERROR(VLOOKUP(DN$6,Hoja1!$F$2:$XFD$61,BF52+4,FALSE),0)</f>
        <v/>
      </c>
      <c r="DO52">
        <f>IFERROR(VLOOKUP(DO$6,Hoja1!$F$2:$XFD$61,BG52+4,FALSE),0)</f>
        <v/>
      </c>
      <c r="DP52">
        <f>IFERROR(VLOOKUP(DP$6,Hoja1!$F$2:$XFD$61,BH52+4,FALSE),0)</f>
        <v/>
      </c>
      <c r="DQ52">
        <f>IFERROR(VLOOKUP(DQ$6,Hoja1!$F$2:$XFD$61,BI52+4,FALSE),0)</f>
        <v/>
      </c>
      <c r="DR52">
        <f>IFERROR(VLOOKUP(DR$6,Hoja1!$F$2:$XFD$61,BJ52+4,FALSE),0)</f>
        <v/>
      </c>
      <c r="DS52">
        <f>IFERROR(VLOOKUP(DS$6,Hoja1!$F$2:$XFD$61,BK52+4,FALSE),0)</f>
        <v/>
      </c>
      <c r="DT52">
        <f>IFERROR(VLOOKUP(DT$6,Hoja1!$F$2:$XFD$61,BL52+4,FALSE),0)</f>
        <v/>
      </c>
      <c r="DU52" s="15">
        <f>IF(COUNT(E52:BL52)=$DV$7,IF(D52="","indique grupo",SUM(BM52:DT52)),"")</f>
        <v/>
      </c>
      <c r="DV52" s="16">
        <f>IF(D52&lt;&gt;"",IF(DU52="","",IF(DU52&gt;=$DU$7*Hoja1!$E$2,4+3/($DU$7*(1-Hoja1!$E$2))*(DU52-$DU$7*Hoja1!$E$2),1+3/($DU$7*Hoja1!$E$2)*DU52)),DU52)</f>
        <v/>
      </c>
      <c r="DW52" s="47" t="b">
        <v>0</v>
      </c>
    </row>
    <row r="53" ht="23.25" customHeight="1">
      <c r="A53" s="17" t="n">
        <v>44</v>
      </c>
      <c r="B53" s="18" t="inlineStr">
        <is>
          <t>TAPIA HERNANDEZ ARACELLI DENISSE</t>
        </is>
      </c>
      <c r="C53" s="18" t="inlineStr">
        <is>
          <t>219679955</t>
        </is>
      </c>
      <c r="D53" s="1" t="n"/>
      <c r="E53" s="28" t="n"/>
      <c r="F53" s="19" t="n"/>
      <c r="G53" s="19" t="n"/>
      <c r="H53" s="19" t="n"/>
      <c r="I53" s="19" t="n"/>
      <c r="J53" s="19" t="n"/>
      <c r="K53" s="19" t="n"/>
      <c r="L53" s="19" t="n"/>
      <c r="M53" s="19" t="n"/>
      <c r="N53" s="19" t="n"/>
      <c r="O53" s="19" t="n"/>
      <c r="P53" s="19" t="n"/>
      <c r="Q53" s="19" t="n"/>
      <c r="R53" s="19" t="n"/>
      <c r="S53" s="19" t="n"/>
      <c r="T53" s="19" t="n"/>
      <c r="U53" s="19" t="n"/>
      <c r="V53" s="19" t="n"/>
      <c r="W53" s="19" t="n"/>
      <c r="X53" s="19" t="n"/>
      <c r="Y53" s="19" t="n"/>
      <c r="Z53" s="19" t="n"/>
      <c r="AA53" s="19" t="n"/>
      <c r="AB53" s="19" t="n"/>
      <c r="AC53" s="19" t="n"/>
      <c r="AD53" s="19" t="n"/>
      <c r="AE53" s="19" t="n"/>
      <c r="AF53" s="19" t="n"/>
      <c r="AG53" s="19" t="n"/>
      <c r="AH53" s="19" t="n"/>
      <c r="AI53" s="19" t="n"/>
      <c r="AJ53" s="19" t="n"/>
      <c r="AK53" s="19" t="n"/>
      <c r="AL53" s="19" t="n"/>
      <c r="AM53" s="19" t="n"/>
      <c r="AN53" s="19" t="n"/>
      <c r="AO53" s="19" t="n"/>
      <c r="AP53" s="19" t="n"/>
      <c r="AQ53" s="19" t="n"/>
      <c r="AR53" s="19" t="n"/>
      <c r="AS53" s="19" t="n"/>
      <c r="AT53" s="19" t="n"/>
      <c r="AU53" s="19" t="n"/>
      <c r="AV53" s="19" t="n"/>
      <c r="AW53" s="19" t="n"/>
      <c r="AX53" s="19" t="n"/>
      <c r="AY53" s="19" t="n"/>
      <c r="AZ53" s="19" t="n"/>
      <c r="BA53" s="19" t="n"/>
      <c r="BB53" s="19" t="n"/>
      <c r="BC53" s="19" t="n"/>
      <c r="BD53" s="19" t="n"/>
      <c r="BE53" s="19" t="n"/>
      <c r="BF53" s="19" t="n"/>
      <c r="BG53" s="19" t="n"/>
      <c r="BH53" s="19" t="n"/>
      <c r="BI53" s="19" t="n"/>
      <c r="BJ53" s="19" t="n"/>
      <c r="BK53" s="19" t="n"/>
      <c r="BL53" s="29" t="n"/>
      <c r="BM53">
        <f>IFERROR(VLOOKUP(BM$6,Hoja1!$F$2:$XFD$61,E53+4,FALSE),0)</f>
        <v/>
      </c>
      <c r="BN53">
        <f>IFERROR(VLOOKUP(BN$6,Hoja1!$F$2:$XFD$61,F53+4,FALSE),0)</f>
        <v/>
      </c>
      <c r="BO53">
        <f>IFERROR(VLOOKUP(BO$6,Hoja1!$F$2:$XFD$61,G53+4,FALSE),0)</f>
        <v/>
      </c>
      <c r="BP53">
        <f>IFERROR(VLOOKUP(BP$6,Hoja1!$F$2:$XFD$61,H53+4,FALSE),0)</f>
        <v/>
      </c>
      <c r="BQ53">
        <f>IFERROR(VLOOKUP(BQ$6,Hoja1!$F$2:$XFD$61,I53+4,FALSE),0)</f>
        <v/>
      </c>
      <c r="BR53">
        <f>IFERROR(VLOOKUP(BR$6,Hoja1!$F$2:$XFD$61,J53+4,FALSE),0)</f>
        <v/>
      </c>
      <c r="BS53">
        <f>IFERROR(VLOOKUP(BS$6,Hoja1!$F$2:$XFD$61,K53+4,FALSE),0)</f>
        <v/>
      </c>
      <c r="BT53">
        <f>IFERROR(VLOOKUP(BT$6,Hoja1!$F$2:$XFD$61,L53+4,FALSE),0)</f>
        <v/>
      </c>
      <c r="BU53">
        <f>IFERROR(VLOOKUP(BU$6,Hoja1!$F$2:$XFD$61,M53+4,FALSE),0)</f>
        <v/>
      </c>
      <c r="BV53">
        <f>IFERROR(VLOOKUP(BV$6,Hoja1!$F$2:$XFD$61,N53+4,FALSE),0)</f>
        <v/>
      </c>
      <c r="BW53">
        <f>IFERROR(VLOOKUP(BW$6,Hoja1!$F$2:$XFD$61,O53+4,FALSE),0)</f>
        <v/>
      </c>
      <c r="BX53">
        <f>IFERROR(VLOOKUP(BX$6,Hoja1!$F$2:$XFD$61,P53+4,FALSE),0)</f>
        <v/>
      </c>
      <c r="BY53">
        <f>IFERROR(VLOOKUP(BY$6,Hoja1!$F$2:$XFD$61,Q53+4,FALSE),0)</f>
        <v/>
      </c>
      <c r="BZ53">
        <f>IFERROR(VLOOKUP(BZ$6,Hoja1!$F$2:$XFD$61,R53+4,FALSE),0)</f>
        <v/>
      </c>
      <c r="CA53">
        <f>IFERROR(VLOOKUP(CA$6,Hoja1!$F$2:$XFD$61,S53+4,FALSE),0)</f>
        <v/>
      </c>
      <c r="CB53">
        <f>IFERROR(VLOOKUP(CB$6,Hoja1!$F$2:$XFD$61,T53+4,FALSE),0)</f>
        <v/>
      </c>
      <c r="CC53">
        <f>IFERROR(VLOOKUP(CC$6,Hoja1!$F$2:$XFD$61,U53+4,FALSE),0)</f>
        <v/>
      </c>
      <c r="CD53">
        <f>IFERROR(VLOOKUP(CD$6,Hoja1!$F$2:$XFD$61,V53+4,FALSE),0)</f>
        <v/>
      </c>
      <c r="CE53">
        <f>IFERROR(VLOOKUP(CE$6,Hoja1!$F$2:$XFD$61,W53+4,FALSE),0)</f>
        <v/>
      </c>
      <c r="CF53">
        <f>IFERROR(VLOOKUP(CF$6,Hoja1!$F$2:$XFD$61,X53+4,FALSE),0)</f>
        <v/>
      </c>
      <c r="CG53">
        <f>IFERROR(VLOOKUP(CG$6,Hoja1!$F$2:$XFD$61,Y53+4,FALSE),0)</f>
        <v/>
      </c>
      <c r="CH53">
        <f>IFERROR(VLOOKUP(CH$6,Hoja1!$F$2:$XFD$61,Z53+4,FALSE),0)</f>
        <v/>
      </c>
      <c r="CI53">
        <f>IFERROR(VLOOKUP(CI$6,Hoja1!$F$2:$XFD$61,AA53+4,FALSE),0)</f>
        <v/>
      </c>
      <c r="CJ53">
        <f>IFERROR(VLOOKUP(CJ$6,Hoja1!$F$2:$XFD$61,AB53+4,FALSE),0)</f>
        <v/>
      </c>
      <c r="CK53">
        <f>IFERROR(VLOOKUP(CK$6,Hoja1!$F$2:$XFD$61,AC53+4,FALSE),0)</f>
        <v/>
      </c>
      <c r="CL53">
        <f>IFERROR(VLOOKUP(CL$6,Hoja1!$F$2:$XFD$61,AD53+4,FALSE),0)</f>
        <v/>
      </c>
      <c r="CM53">
        <f>IFERROR(VLOOKUP(CM$6,Hoja1!$F$2:$XFD$61,AE53+4,FALSE),0)</f>
        <v/>
      </c>
      <c r="CN53">
        <f>IFERROR(VLOOKUP(CN$6,Hoja1!$F$2:$XFD$61,AF53+4,FALSE),0)</f>
        <v/>
      </c>
      <c r="CO53">
        <f>IFERROR(VLOOKUP(CO$6,Hoja1!$F$2:$XFD$61,AG53+4,FALSE),0)</f>
        <v/>
      </c>
      <c r="CP53">
        <f>IFERROR(VLOOKUP(CP$6,Hoja1!$F$2:$XFD$61,AH53+4,FALSE),0)</f>
        <v/>
      </c>
      <c r="CQ53">
        <f>IFERROR(VLOOKUP(CQ$6,Hoja1!$F$2:$XFD$61,AI53+4,FALSE),0)</f>
        <v/>
      </c>
      <c r="CR53">
        <f>IFERROR(VLOOKUP(CR$6,Hoja1!$F$2:$XFD$61,AJ53+4,FALSE),0)</f>
        <v/>
      </c>
      <c r="CS53">
        <f>IFERROR(VLOOKUP(CS$6,Hoja1!$F$2:$XFD$61,AK53+4,FALSE),0)</f>
        <v/>
      </c>
      <c r="CT53">
        <f>IFERROR(VLOOKUP(CT$6,Hoja1!$F$2:$XFD$61,AL53+4,FALSE),0)</f>
        <v/>
      </c>
      <c r="CU53">
        <f>IFERROR(VLOOKUP(CU$6,Hoja1!$F$2:$XFD$61,AM53+4,FALSE),0)</f>
        <v/>
      </c>
      <c r="CV53">
        <f>IFERROR(VLOOKUP(CV$6,Hoja1!$F$2:$XFD$61,AN53+4,FALSE),0)</f>
        <v/>
      </c>
      <c r="CW53">
        <f>IFERROR(VLOOKUP(CW$6,Hoja1!$F$2:$XFD$61,AO53+4,FALSE),0)</f>
        <v/>
      </c>
      <c r="CX53">
        <f>IFERROR(VLOOKUP(CX$6,Hoja1!$F$2:$XFD$61,AP53+4,FALSE),0)</f>
        <v/>
      </c>
      <c r="CY53">
        <f>IFERROR(VLOOKUP(CY$6,Hoja1!$F$2:$XFD$61,AQ53+4,FALSE),0)</f>
        <v/>
      </c>
      <c r="CZ53">
        <f>IFERROR(VLOOKUP(CZ$6,Hoja1!$F$2:$XFD$61,AR53+4,FALSE),0)</f>
        <v/>
      </c>
      <c r="DA53">
        <f>IFERROR(VLOOKUP(DA$6,Hoja1!$F$2:$XFD$61,AS53+4,FALSE),0)</f>
        <v/>
      </c>
      <c r="DB53">
        <f>IFERROR(VLOOKUP(DB$6,Hoja1!$F$2:$XFD$61,AT53+4,FALSE),0)</f>
        <v/>
      </c>
      <c r="DC53">
        <f>IFERROR(VLOOKUP(DC$6,Hoja1!$F$2:$XFD$61,AU53+4,FALSE),0)</f>
        <v/>
      </c>
      <c r="DD53">
        <f>IFERROR(VLOOKUP(DD$6,Hoja1!$F$2:$XFD$61,AV53+4,FALSE),0)</f>
        <v/>
      </c>
      <c r="DE53">
        <f>IFERROR(VLOOKUP(DE$6,Hoja1!$F$2:$XFD$61,AW53+4,FALSE),0)</f>
        <v/>
      </c>
      <c r="DF53">
        <f>IFERROR(VLOOKUP(DF$6,Hoja1!$F$2:$XFD$61,AX53+4,FALSE),0)</f>
        <v/>
      </c>
      <c r="DG53">
        <f>IFERROR(VLOOKUP(DG$6,Hoja1!$F$2:$XFD$61,AY53+4,FALSE),0)</f>
        <v/>
      </c>
      <c r="DH53">
        <f>IFERROR(VLOOKUP(DH$6,Hoja1!$F$2:$XFD$61,AZ53+4,FALSE),0)</f>
        <v/>
      </c>
      <c r="DI53">
        <f>IFERROR(VLOOKUP(DI$6,Hoja1!$F$2:$XFD$61,BA53+4,FALSE),0)</f>
        <v/>
      </c>
      <c r="DJ53">
        <f>IFERROR(VLOOKUP(DJ$6,Hoja1!$F$2:$XFD$61,BB53+4,FALSE),0)</f>
        <v/>
      </c>
      <c r="DK53">
        <f>IFERROR(VLOOKUP(DK$6,Hoja1!$F$2:$XFD$61,BC53+4,FALSE),0)</f>
        <v/>
      </c>
      <c r="DL53">
        <f>IFERROR(VLOOKUP(DL$6,Hoja1!$F$2:$XFD$61,BD53+4,FALSE),0)</f>
        <v/>
      </c>
      <c r="DM53">
        <f>IFERROR(VLOOKUP(DM$6,Hoja1!$F$2:$XFD$61,BE53+4,FALSE),0)</f>
        <v/>
      </c>
      <c r="DN53">
        <f>IFERROR(VLOOKUP(DN$6,Hoja1!$F$2:$XFD$61,BF53+4,FALSE),0)</f>
        <v/>
      </c>
      <c r="DO53">
        <f>IFERROR(VLOOKUP(DO$6,Hoja1!$F$2:$XFD$61,BG53+4,FALSE),0)</f>
        <v/>
      </c>
      <c r="DP53">
        <f>IFERROR(VLOOKUP(DP$6,Hoja1!$F$2:$XFD$61,BH53+4,FALSE),0)</f>
        <v/>
      </c>
      <c r="DQ53">
        <f>IFERROR(VLOOKUP(DQ$6,Hoja1!$F$2:$XFD$61,BI53+4,FALSE),0)</f>
        <v/>
      </c>
      <c r="DR53">
        <f>IFERROR(VLOOKUP(DR$6,Hoja1!$F$2:$XFD$61,BJ53+4,FALSE),0)</f>
        <v/>
      </c>
      <c r="DS53">
        <f>IFERROR(VLOOKUP(DS$6,Hoja1!$F$2:$XFD$61,BK53+4,FALSE),0)</f>
        <v/>
      </c>
      <c r="DT53">
        <f>IFERROR(VLOOKUP(DT$6,Hoja1!$F$2:$XFD$61,BL53+4,FALSE),0)</f>
        <v/>
      </c>
      <c r="DU53" s="15">
        <f>IF(COUNT(E53:BL53)=$DV$7,IF(D53="","indique grupo",SUM(BM53:DT53)),"")</f>
        <v/>
      </c>
      <c r="DV53" s="16">
        <f>IF(D53&lt;&gt;"",IF(DU53="","",IF(DU53&gt;=$DU$7*Hoja1!$E$2,4+3/($DU$7*(1-Hoja1!$E$2))*(DU53-$DU$7*Hoja1!$E$2),1+3/($DU$7*Hoja1!$E$2)*DU53)),DU53)</f>
        <v/>
      </c>
      <c r="DW53" s="47" t="b">
        <v>0</v>
      </c>
    </row>
    <row r="54" ht="23.25" customHeight="1">
      <c r="A54" s="17" t="n">
        <v>45</v>
      </c>
      <c r="B54" s="18" t="inlineStr">
        <is>
          <t>VALENZUELA BRAVO CRISTIAN ALFONSO</t>
        </is>
      </c>
      <c r="C54" s="18" t="inlineStr">
        <is>
          <t>192357039</t>
        </is>
      </c>
      <c r="D54" s="1" t="n"/>
      <c r="E54" s="28" t="n"/>
      <c r="F54" s="19" t="n"/>
      <c r="G54" s="19" t="n"/>
      <c r="H54" s="19" t="n"/>
      <c r="I54" s="19" t="n"/>
      <c r="J54" s="19" t="n"/>
      <c r="K54" s="19" t="n"/>
      <c r="L54" s="19" t="n"/>
      <c r="M54" s="19" t="n"/>
      <c r="N54" s="19" t="n"/>
      <c r="O54" s="19" t="n"/>
      <c r="P54" s="19" t="n"/>
      <c r="Q54" s="19" t="n"/>
      <c r="R54" s="19" t="n"/>
      <c r="S54" s="19" t="n"/>
      <c r="T54" s="19" t="n"/>
      <c r="U54" s="19" t="n"/>
      <c r="V54" s="19" t="n"/>
      <c r="W54" s="19" t="n"/>
      <c r="X54" s="19" t="n"/>
      <c r="Y54" s="19" t="n"/>
      <c r="Z54" s="19" t="n"/>
      <c r="AA54" s="19" t="n"/>
      <c r="AB54" s="19" t="n"/>
      <c r="AC54" s="19" t="n"/>
      <c r="AD54" s="19" t="n"/>
      <c r="AE54" s="19" t="n"/>
      <c r="AF54" s="19" t="n"/>
      <c r="AG54" s="19" t="n"/>
      <c r="AH54" s="19" t="n"/>
      <c r="AI54" s="19" t="n"/>
      <c r="AJ54" s="19" t="n"/>
      <c r="AK54" s="19" t="n"/>
      <c r="AL54" s="19" t="n"/>
      <c r="AM54" s="19" t="n"/>
      <c r="AN54" s="19" t="n"/>
      <c r="AO54" s="19" t="n"/>
      <c r="AP54" s="19" t="n"/>
      <c r="AQ54" s="19" t="n"/>
      <c r="AR54" s="19" t="n"/>
      <c r="AS54" s="19" t="n"/>
      <c r="AT54" s="19" t="n"/>
      <c r="AU54" s="19" t="n"/>
      <c r="AV54" s="19" t="n"/>
      <c r="AW54" s="19" t="n"/>
      <c r="AX54" s="19" t="n"/>
      <c r="AY54" s="19" t="n"/>
      <c r="AZ54" s="19" t="n"/>
      <c r="BA54" s="19" t="n"/>
      <c r="BB54" s="19" t="n"/>
      <c r="BC54" s="19" t="n"/>
      <c r="BD54" s="19" t="n"/>
      <c r="BE54" s="19" t="n"/>
      <c r="BF54" s="19" t="n"/>
      <c r="BG54" s="19" t="n"/>
      <c r="BH54" s="19" t="n"/>
      <c r="BI54" s="19" t="n"/>
      <c r="BJ54" s="19" t="n"/>
      <c r="BK54" s="19" t="n"/>
      <c r="BL54" s="29" t="n"/>
      <c r="BM54">
        <f>IFERROR(VLOOKUP(BM$6,Hoja1!$F$2:$XFD$61,E54+4,FALSE),0)</f>
        <v/>
      </c>
      <c r="BN54">
        <f>IFERROR(VLOOKUP(BN$6,Hoja1!$F$2:$XFD$61,F54+4,FALSE),0)</f>
        <v/>
      </c>
      <c r="BO54">
        <f>IFERROR(VLOOKUP(BO$6,Hoja1!$F$2:$XFD$61,G54+4,FALSE),0)</f>
        <v/>
      </c>
      <c r="BP54">
        <f>IFERROR(VLOOKUP(BP$6,Hoja1!$F$2:$XFD$61,H54+4,FALSE),0)</f>
        <v/>
      </c>
      <c r="BQ54">
        <f>IFERROR(VLOOKUP(BQ$6,Hoja1!$F$2:$XFD$61,I54+4,FALSE),0)</f>
        <v/>
      </c>
      <c r="BR54">
        <f>IFERROR(VLOOKUP(BR$6,Hoja1!$F$2:$XFD$61,J54+4,FALSE),0)</f>
        <v/>
      </c>
      <c r="BS54">
        <f>IFERROR(VLOOKUP(BS$6,Hoja1!$F$2:$XFD$61,K54+4,FALSE),0)</f>
        <v/>
      </c>
      <c r="BT54">
        <f>IFERROR(VLOOKUP(BT$6,Hoja1!$F$2:$XFD$61,L54+4,FALSE),0)</f>
        <v/>
      </c>
      <c r="BU54">
        <f>IFERROR(VLOOKUP(BU$6,Hoja1!$F$2:$XFD$61,M54+4,FALSE),0)</f>
        <v/>
      </c>
      <c r="BV54">
        <f>IFERROR(VLOOKUP(BV$6,Hoja1!$F$2:$XFD$61,N54+4,FALSE),0)</f>
        <v/>
      </c>
      <c r="BW54">
        <f>IFERROR(VLOOKUP(BW$6,Hoja1!$F$2:$XFD$61,O54+4,FALSE),0)</f>
        <v/>
      </c>
      <c r="BX54">
        <f>IFERROR(VLOOKUP(BX$6,Hoja1!$F$2:$XFD$61,P54+4,FALSE),0)</f>
        <v/>
      </c>
      <c r="BY54">
        <f>IFERROR(VLOOKUP(BY$6,Hoja1!$F$2:$XFD$61,Q54+4,FALSE),0)</f>
        <v/>
      </c>
      <c r="BZ54">
        <f>IFERROR(VLOOKUP(BZ$6,Hoja1!$F$2:$XFD$61,R54+4,FALSE),0)</f>
        <v/>
      </c>
      <c r="CA54">
        <f>IFERROR(VLOOKUP(CA$6,Hoja1!$F$2:$XFD$61,S54+4,FALSE),0)</f>
        <v/>
      </c>
      <c r="CB54">
        <f>IFERROR(VLOOKUP(CB$6,Hoja1!$F$2:$XFD$61,T54+4,FALSE),0)</f>
        <v/>
      </c>
      <c r="CC54">
        <f>IFERROR(VLOOKUP(CC$6,Hoja1!$F$2:$XFD$61,U54+4,FALSE),0)</f>
        <v/>
      </c>
      <c r="CD54">
        <f>IFERROR(VLOOKUP(CD$6,Hoja1!$F$2:$XFD$61,V54+4,FALSE),0)</f>
        <v/>
      </c>
      <c r="CE54">
        <f>IFERROR(VLOOKUP(CE$6,Hoja1!$F$2:$XFD$61,W54+4,FALSE),0)</f>
        <v/>
      </c>
      <c r="CF54">
        <f>IFERROR(VLOOKUP(CF$6,Hoja1!$F$2:$XFD$61,X54+4,FALSE),0)</f>
        <v/>
      </c>
      <c r="CG54">
        <f>IFERROR(VLOOKUP(CG$6,Hoja1!$F$2:$XFD$61,Y54+4,FALSE),0)</f>
        <v/>
      </c>
      <c r="CH54">
        <f>IFERROR(VLOOKUP(CH$6,Hoja1!$F$2:$XFD$61,Z54+4,FALSE),0)</f>
        <v/>
      </c>
      <c r="CI54">
        <f>IFERROR(VLOOKUP(CI$6,Hoja1!$F$2:$XFD$61,AA54+4,FALSE),0)</f>
        <v/>
      </c>
      <c r="CJ54">
        <f>IFERROR(VLOOKUP(CJ$6,Hoja1!$F$2:$XFD$61,AB54+4,FALSE),0)</f>
        <v/>
      </c>
      <c r="CK54">
        <f>IFERROR(VLOOKUP(CK$6,Hoja1!$F$2:$XFD$61,AC54+4,FALSE),0)</f>
        <v/>
      </c>
      <c r="CL54">
        <f>IFERROR(VLOOKUP(CL$6,Hoja1!$F$2:$XFD$61,AD54+4,FALSE),0)</f>
        <v/>
      </c>
      <c r="CM54">
        <f>IFERROR(VLOOKUP(CM$6,Hoja1!$F$2:$XFD$61,AE54+4,FALSE),0)</f>
        <v/>
      </c>
      <c r="CN54">
        <f>IFERROR(VLOOKUP(CN$6,Hoja1!$F$2:$XFD$61,AF54+4,FALSE),0)</f>
        <v/>
      </c>
      <c r="CO54">
        <f>IFERROR(VLOOKUP(CO$6,Hoja1!$F$2:$XFD$61,AG54+4,FALSE),0)</f>
        <v/>
      </c>
      <c r="CP54">
        <f>IFERROR(VLOOKUP(CP$6,Hoja1!$F$2:$XFD$61,AH54+4,FALSE),0)</f>
        <v/>
      </c>
      <c r="CQ54">
        <f>IFERROR(VLOOKUP(CQ$6,Hoja1!$F$2:$XFD$61,AI54+4,FALSE),0)</f>
        <v/>
      </c>
      <c r="CR54">
        <f>IFERROR(VLOOKUP(CR$6,Hoja1!$F$2:$XFD$61,AJ54+4,FALSE),0)</f>
        <v/>
      </c>
      <c r="CS54">
        <f>IFERROR(VLOOKUP(CS$6,Hoja1!$F$2:$XFD$61,AK54+4,FALSE),0)</f>
        <v/>
      </c>
      <c r="CT54">
        <f>IFERROR(VLOOKUP(CT$6,Hoja1!$F$2:$XFD$61,AL54+4,FALSE),0)</f>
        <v/>
      </c>
      <c r="CU54">
        <f>IFERROR(VLOOKUP(CU$6,Hoja1!$F$2:$XFD$61,AM54+4,FALSE),0)</f>
        <v/>
      </c>
      <c r="CV54">
        <f>IFERROR(VLOOKUP(CV$6,Hoja1!$F$2:$XFD$61,AN54+4,FALSE),0)</f>
        <v/>
      </c>
      <c r="CW54">
        <f>IFERROR(VLOOKUP(CW$6,Hoja1!$F$2:$XFD$61,AO54+4,FALSE),0)</f>
        <v/>
      </c>
      <c r="CX54">
        <f>IFERROR(VLOOKUP(CX$6,Hoja1!$F$2:$XFD$61,AP54+4,FALSE),0)</f>
        <v/>
      </c>
      <c r="CY54">
        <f>IFERROR(VLOOKUP(CY$6,Hoja1!$F$2:$XFD$61,AQ54+4,FALSE),0)</f>
        <v/>
      </c>
      <c r="CZ54">
        <f>IFERROR(VLOOKUP(CZ$6,Hoja1!$F$2:$XFD$61,AR54+4,FALSE),0)</f>
        <v/>
      </c>
      <c r="DA54">
        <f>IFERROR(VLOOKUP(DA$6,Hoja1!$F$2:$XFD$61,AS54+4,FALSE),0)</f>
        <v/>
      </c>
      <c r="DB54">
        <f>IFERROR(VLOOKUP(DB$6,Hoja1!$F$2:$XFD$61,AT54+4,FALSE),0)</f>
        <v/>
      </c>
      <c r="DC54">
        <f>IFERROR(VLOOKUP(DC$6,Hoja1!$F$2:$XFD$61,AU54+4,FALSE),0)</f>
        <v/>
      </c>
      <c r="DD54">
        <f>IFERROR(VLOOKUP(DD$6,Hoja1!$F$2:$XFD$61,AV54+4,FALSE),0)</f>
        <v/>
      </c>
      <c r="DE54">
        <f>IFERROR(VLOOKUP(DE$6,Hoja1!$F$2:$XFD$61,AW54+4,FALSE),0)</f>
        <v/>
      </c>
      <c r="DF54">
        <f>IFERROR(VLOOKUP(DF$6,Hoja1!$F$2:$XFD$61,AX54+4,FALSE),0)</f>
        <v/>
      </c>
      <c r="DG54">
        <f>IFERROR(VLOOKUP(DG$6,Hoja1!$F$2:$XFD$61,AY54+4,FALSE),0)</f>
        <v/>
      </c>
      <c r="DH54">
        <f>IFERROR(VLOOKUP(DH$6,Hoja1!$F$2:$XFD$61,AZ54+4,FALSE),0)</f>
        <v/>
      </c>
      <c r="DI54">
        <f>IFERROR(VLOOKUP(DI$6,Hoja1!$F$2:$XFD$61,BA54+4,FALSE),0)</f>
        <v/>
      </c>
      <c r="DJ54">
        <f>IFERROR(VLOOKUP(DJ$6,Hoja1!$F$2:$XFD$61,BB54+4,FALSE),0)</f>
        <v/>
      </c>
      <c r="DK54">
        <f>IFERROR(VLOOKUP(DK$6,Hoja1!$F$2:$XFD$61,BC54+4,FALSE),0)</f>
        <v/>
      </c>
      <c r="DL54">
        <f>IFERROR(VLOOKUP(DL$6,Hoja1!$F$2:$XFD$61,BD54+4,FALSE),0)</f>
        <v/>
      </c>
      <c r="DM54">
        <f>IFERROR(VLOOKUP(DM$6,Hoja1!$F$2:$XFD$61,BE54+4,FALSE),0)</f>
        <v/>
      </c>
      <c r="DN54">
        <f>IFERROR(VLOOKUP(DN$6,Hoja1!$F$2:$XFD$61,BF54+4,FALSE),0)</f>
        <v/>
      </c>
      <c r="DO54">
        <f>IFERROR(VLOOKUP(DO$6,Hoja1!$F$2:$XFD$61,BG54+4,FALSE),0)</f>
        <v/>
      </c>
      <c r="DP54">
        <f>IFERROR(VLOOKUP(DP$6,Hoja1!$F$2:$XFD$61,BH54+4,FALSE),0)</f>
        <v/>
      </c>
      <c r="DQ54">
        <f>IFERROR(VLOOKUP(DQ$6,Hoja1!$F$2:$XFD$61,BI54+4,FALSE),0)</f>
        <v/>
      </c>
      <c r="DR54">
        <f>IFERROR(VLOOKUP(DR$6,Hoja1!$F$2:$XFD$61,BJ54+4,FALSE),0)</f>
        <v/>
      </c>
      <c r="DS54">
        <f>IFERROR(VLOOKUP(DS$6,Hoja1!$F$2:$XFD$61,BK54+4,FALSE),0)</f>
        <v/>
      </c>
      <c r="DT54">
        <f>IFERROR(VLOOKUP(DT$6,Hoja1!$F$2:$XFD$61,BL54+4,FALSE),0)</f>
        <v/>
      </c>
      <c r="DU54" s="15">
        <f>IF(COUNT(E54:BL54)=$DV$7,IF(D54="","indique grupo",SUM(BM54:DT54)),"")</f>
        <v/>
      </c>
      <c r="DV54" s="16">
        <f>IF(D54&lt;&gt;"",IF(DU54="","",IF(DU54&gt;=$DU$7*Hoja1!$E$2,4+3/($DU$7*(1-Hoja1!$E$2))*(DU54-$DU$7*Hoja1!$E$2),1+3/($DU$7*Hoja1!$E$2)*DU54)),DU54)</f>
        <v/>
      </c>
      <c r="DW54" s="47" t="b">
        <v>0</v>
      </c>
    </row>
    <row r="55" ht="23.25" customHeight="1">
      <c r="A55" s="17" t="n">
        <v>46</v>
      </c>
      <c r="B55" s="18" t="inlineStr">
        <is>
          <t>VELARDE TOLEDO FRANCISCO JAVIER</t>
        </is>
      </c>
      <c r="C55" s="18" t="inlineStr">
        <is>
          <t>198661961</t>
        </is>
      </c>
      <c r="D55" s="1" t="n"/>
      <c r="E55" s="28" t="n"/>
      <c r="F55" s="19" t="n"/>
      <c r="G55" s="19" t="n"/>
      <c r="H55" s="19" t="n"/>
      <c r="I55" s="19" t="n"/>
      <c r="J55" s="19" t="n"/>
      <c r="K55" s="19" t="n"/>
      <c r="L55" s="19" t="n"/>
      <c r="M55" s="19" t="n"/>
      <c r="N55" s="19" t="n"/>
      <c r="O55" s="19" t="n"/>
      <c r="P55" s="19" t="n"/>
      <c r="Q55" s="19" t="n"/>
      <c r="R55" s="19" t="n"/>
      <c r="S55" s="19" t="n"/>
      <c r="T55" s="19" t="n"/>
      <c r="U55" s="19" t="n"/>
      <c r="V55" s="19" t="n"/>
      <c r="W55" s="19" t="n"/>
      <c r="X55" s="19" t="n"/>
      <c r="Y55" s="19" t="n"/>
      <c r="Z55" s="19" t="n"/>
      <c r="AA55" s="19" t="n"/>
      <c r="AB55" s="19" t="n"/>
      <c r="AC55" s="19" t="n"/>
      <c r="AD55" s="19" t="n"/>
      <c r="AE55" s="19" t="n"/>
      <c r="AF55" s="19" t="n"/>
      <c r="AG55" s="19" t="n"/>
      <c r="AH55" s="19" t="n"/>
      <c r="AI55" s="19" t="n"/>
      <c r="AJ55" s="19" t="n"/>
      <c r="AK55" s="19" t="n"/>
      <c r="AL55" s="19" t="n"/>
      <c r="AM55" s="19" t="n"/>
      <c r="AN55" s="19" t="n"/>
      <c r="AO55" s="19" t="n"/>
      <c r="AP55" s="19" t="n"/>
      <c r="AQ55" s="19" t="n"/>
      <c r="AR55" s="19" t="n"/>
      <c r="AS55" s="19" t="n"/>
      <c r="AT55" s="19" t="n"/>
      <c r="AU55" s="19" t="n"/>
      <c r="AV55" s="19" t="n"/>
      <c r="AW55" s="19" t="n"/>
      <c r="AX55" s="19" t="n"/>
      <c r="AY55" s="19" t="n"/>
      <c r="AZ55" s="19" t="n"/>
      <c r="BA55" s="19" t="n"/>
      <c r="BB55" s="19" t="n"/>
      <c r="BC55" s="19" t="n"/>
      <c r="BD55" s="19" t="n"/>
      <c r="BE55" s="19" t="n"/>
      <c r="BF55" s="19" t="n"/>
      <c r="BG55" s="19" t="n"/>
      <c r="BH55" s="19" t="n"/>
      <c r="BI55" s="19" t="n"/>
      <c r="BJ55" s="19" t="n"/>
      <c r="BK55" s="19" t="n"/>
      <c r="BL55" s="29" t="n"/>
      <c r="BM55">
        <f>IFERROR(VLOOKUP(BM$6,Hoja1!$F$2:$XFD$61,E55+4,FALSE),0)</f>
        <v/>
      </c>
      <c r="BN55">
        <f>IFERROR(VLOOKUP(BN$6,Hoja1!$F$2:$XFD$61,F55+4,FALSE),0)</f>
        <v/>
      </c>
      <c r="BO55">
        <f>IFERROR(VLOOKUP(BO$6,Hoja1!$F$2:$XFD$61,G55+4,FALSE),0)</f>
        <v/>
      </c>
      <c r="BP55">
        <f>IFERROR(VLOOKUP(BP$6,Hoja1!$F$2:$XFD$61,H55+4,FALSE),0)</f>
        <v/>
      </c>
      <c r="BQ55">
        <f>IFERROR(VLOOKUP(BQ$6,Hoja1!$F$2:$XFD$61,I55+4,FALSE),0)</f>
        <v/>
      </c>
      <c r="BR55">
        <f>IFERROR(VLOOKUP(BR$6,Hoja1!$F$2:$XFD$61,J55+4,FALSE),0)</f>
        <v/>
      </c>
      <c r="BS55">
        <f>IFERROR(VLOOKUP(BS$6,Hoja1!$F$2:$XFD$61,K55+4,FALSE),0)</f>
        <v/>
      </c>
      <c r="BT55">
        <f>IFERROR(VLOOKUP(BT$6,Hoja1!$F$2:$XFD$61,L55+4,FALSE),0)</f>
        <v/>
      </c>
      <c r="BU55">
        <f>IFERROR(VLOOKUP(BU$6,Hoja1!$F$2:$XFD$61,M55+4,FALSE),0)</f>
        <v/>
      </c>
      <c r="BV55">
        <f>IFERROR(VLOOKUP(BV$6,Hoja1!$F$2:$XFD$61,N55+4,FALSE),0)</f>
        <v/>
      </c>
      <c r="BW55">
        <f>IFERROR(VLOOKUP(BW$6,Hoja1!$F$2:$XFD$61,O55+4,FALSE),0)</f>
        <v/>
      </c>
      <c r="BX55">
        <f>IFERROR(VLOOKUP(BX$6,Hoja1!$F$2:$XFD$61,P55+4,FALSE),0)</f>
        <v/>
      </c>
      <c r="BY55">
        <f>IFERROR(VLOOKUP(BY$6,Hoja1!$F$2:$XFD$61,Q55+4,FALSE),0)</f>
        <v/>
      </c>
      <c r="BZ55">
        <f>IFERROR(VLOOKUP(BZ$6,Hoja1!$F$2:$XFD$61,R55+4,FALSE),0)</f>
        <v/>
      </c>
      <c r="CA55">
        <f>IFERROR(VLOOKUP(CA$6,Hoja1!$F$2:$XFD$61,S55+4,FALSE),0)</f>
        <v/>
      </c>
      <c r="CB55">
        <f>IFERROR(VLOOKUP(CB$6,Hoja1!$F$2:$XFD$61,T55+4,FALSE),0)</f>
        <v/>
      </c>
      <c r="CC55">
        <f>IFERROR(VLOOKUP(CC$6,Hoja1!$F$2:$XFD$61,U55+4,FALSE),0)</f>
        <v/>
      </c>
      <c r="CD55">
        <f>IFERROR(VLOOKUP(CD$6,Hoja1!$F$2:$XFD$61,V55+4,FALSE),0)</f>
        <v/>
      </c>
      <c r="CE55">
        <f>IFERROR(VLOOKUP(CE$6,Hoja1!$F$2:$XFD$61,W55+4,FALSE),0)</f>
        <v/>
      </c>
      <c r="CF55">
        <f>IFERROR(VLOOKUP(CF$6,Hoja1!$F$2:$XFD$61,X55+4,FALSE),0)</f>
        <v/>
      </c>
      <c r="CG55">
        <f>IFERROR(VLOOKUP(CG$6,Hoja1!$F$2:$XFD$61,Y55+4,FALSE),0)</f>
        <v/>
      </c>
      <c r="CH55">
        <f>IFERROR(VLOOKUP(CH$6,Hoja1!$F$2:$XFD$61,Z55+4,FALSE),0)</f>
        <v/>
      </c>
      <c r="CI55">
        <f>IFERROR(VLOOKUP(CI$6,Hoja1!$F$2:$XFD$61,AA55+4,FALSE),0)</f>
        <v/>
      </c>
      <c r="CJ55">
        <f>IFERROR(VLOOKUP(CJ$6,Hoja1!$F$2:$XFD$61,AB55+4,FALSE),0)</f>
        <v/>
      </c>
      <c r="CK55">
        <f>IFERROR(VLOOKUP(CK$6,Hoja1!$F$2:$XFD$61,AC55+4,FALSE),0)</f>
        <v/>
      </c>
      <c r="CL55">
        <f>IFERROR(VLOOKUP(CL$6,Hoja1!$F$2:$XFD$61,AD55+4,FALSE),0)</f>
        <v/>
      </c>
      <c r="CM55">
        <f>IFERROR(VLOOKUP(CM$6,Hoja1!$F$2:$XFD$61,AE55+4,FALSE),0)</f>
        <v/>
      </c>
      <c r="CN55">
        <f>IFERROR(VLOOKUP(CN$6,Hoja1!$F$2:$XFD$61,AF55+4,FALSE),0)</f>
        <v/>
      </c>
      <c r="CO55">
        <f>IFERROR(VLOOKUP(CO$6,Hoja1!$F$2:$XFD$61,AG55+4,FALSE),0)</f>
        <v/>
      </c>
      <c r="CP55">
        <f>IFERROR(VLOOKUP(CP$6,Hoja1!$F$2:$XFD$61,AH55+4,FALSE),0)</f>
        <v/>
      </c>
      <c r="CQ55">
        <f>IFERROR(VLOOKUP(CQ$6,Hoja1!$F$2:$XFD$61,AI55+4,FALSE),0)</f>
        <v/>
      </c>
      <c r="CR55">
        <f>IFERROR(VLOOKUP(CR$6,Hoja1!$F$2:$XFD$61,AJ55+4,FALSE),0)</f>
        <v/>
      </c>
      <c r="CS55">
        <f>IFERROR(VLOOKUP(CS$6,Hoja1!$F$2:$XFD$61,AK55+4,FALSE),0)</f>
        <v/>
      </c>
      <c r="CT55">
        <f>IFERROR(VLOOKUP(CT$6,Hoja1!$F$2:$XFD$61,AL55+4,FALSE),0)</f>
        <v/>
      </c>
      <c r="CU55">
        <f>IFERROR(VLOOKUP(CU$6,Hoja1!$F$2:$XFD$61,AM55+4,FALSE),0)</f>
        <v/>
      </c>
      <c r="CV55">
        <f>IFERROR(VLOOKUP(CV$6,Hoja1!$F$2:$XFD$61,AN55+4,FALSE),0)</f>
        <v/>
      </c>
      <c r="CW55">
        <f>IFERROR(VLOOKUP(CW$6,Hoja1!$F$2:$XFD$61,AO55+4,FALSE),0)</f>
        <v/>
      </c>
      <c r="CX55">
        <f>IFERROR(VLOOKUP(CX$6,Hoja1!$F$2:$XFD$61,AP55+4,FALSE),0)</f>
        <v/>
      </c>
      <c r="CY55">
        <f>IFERROR(VLOOKUP(CY$6,Hoja1!$F$2:$XFD$61,AQ55+4,FALSE),0)</f>
        <v/>
      </c>
      <c r="CZ55">
        <f>IFERROR(VLOOKUP(CZ$6,Hoja1!$F$2:$XFD$61,AR55+4,FALSE),0)</f>
        <v/>
      </c>
      <c r="DA55">
        <f>IFERROR(VLOOKUP(DA$6,Hoja1!$F$2:$XFD$61,AS55+4,FALSE),0)</f>
        <v/>
      </c>
      <c r="DB55">
        <f>IFERROR(VLOOKUP(DB$6,Hoja1!$F$2:$XFD$61,AT55+4,FALSE),0)</f>
        <v/>
      </c>
      <c r="DC55">
        <f>IFERROR(VLOOKUP(DC$6,Hoja1!$F$2:$XFD$61,AU55+4,FALSE),0)</f>
        <v/>
      </c>
      <c r="DD55">
        <f>IFERROR(VLOOKUP(DD$6,Hoja1!$F$2:$XFD$61,AV55+4,FALSE),0)</f>
        <v/>
      </c>
      <c r="DE55">
        <f>IFERROR(VLOOKUP(DE$6,Hoja1!$F$2:$XFD$61,AW55+4,FALSE),0)</f>
        <v/>
      </c>
      <c r="DF55">
        <f>IFERROR(VLOOKUP(DF$6,Hoja1!$F$2:$XFD$61,AX55+4,FALSE),0)</f>
        <v/>
      </c>
      <c r="DG55">
        <f>IFERROR(VLOOKUP(DG$6,Hoja1!$F$2:$XFD$61,AY55+4,FALSE),0)</f>
        <v/>
      </c>
      <c r="DH55">
        <f>IFERROR(VLOOKUP(DH$6,Hoja1!$F$2:$XFD$61,AZ55+4,FALSE),0)</f>
        <v/>
      </c>
      <c r="DI55">
        <f>IFERROR(VLOOKUP(DI$6,Hoja1!$F$2:$XFD$61,BA55+4,FALSE),0)</f>
        <v/>
      </c>
      <c r="DJ55">
        <f>IFERROR(VLOOKUP(DJ$6,Hoja1!$F$2:$XFD$61,BB55+4,FALSE),0)</f>
        <v/>
      </c>
      <c r="DK55">
        <f>IFERROR(VLOOKUP(DK$6,Hoja1!$F$2:$XFD$61,BC55+4,FALSE),0)</f>
        <v/>
      </c>
      <c r="DL55">
        <f>IFERROR(VLOOKUP(DL$6,Hoja1!$F$2:$XFD$61,BD55+4,FALSE),0)</f>
        <v/>
      </c>
      <c r="DM55">
        <f>IFERROR(VLOOKUP(DM$6,Hoja1!$F$2:$XFD$61,BE55+4,FALSE),0)</f>
        <v/>
      </c>
      <c r="DN55">
        <f>IFERROR(VLOOKUP(DN$6,Hoja1!$F$2:$XFD$61,BF55+4,FALSE),0)</f>
        <v/>
      </c>
      <c r="DO55">
        <f>IFERROR(VLOOKUP(DO$6,Hoja1!$F$2:$XFD$61,BG55+4,FALSE),0)</f>
        <v/>
      </c>
      <c r="DP55">
        <f>IFERROR(VLOOKUP(DP$6,Hoja1!$F$2:$XFD$61,BH55+4,FALSE),0)</f>
        <v/>
      </c>
      <c r="DQ55">
        <f>IFERROR(VLOOKUP(DQ$6,Hoja1!$F$2:$XFD$61,BI55+4,FALSE),0)</f>
        <v/>
      </c>
      <c r="DR55">
        <f>IFERROR(VLOOKUP(DR$6,Hoja1!$F$2:$XFD$61,BJ55+4,FALSE),0)</f>
        <v/>
      </c>
      <c r="DS55">
        <f>IFERROR(VLOOKUP(DS$6,Hoja1!$F$2:$XFD$61,BK55+4,FALSE),0)</f>
        <v/>
      </c>
      <c r="DT55">
        <f>IFERROR(VLOOKUP(DT$6,Hoja1!$F$2:$XFD$61,BL55+4,FALSE),0)</f>
        <v/>
      </c>
      <c r="DU55" s="15">
        <f>IF(COUNT(E55:BL55)=$DV$7,IF(D55="","indique grupo",SUM(BM55:DT55)),"")</f>
        <v/>
      </c>
      <c r="DV55" s="16">
        <f>IF(D55&lt;&gt;"",IF(DU55="","",IF(DU55&gt;=$DU$7*Hoja1!$E$2,4+3/($DU$7*(1-Hoja1!$E$2))*(DU55-$DU$7*Hoja1!$E$2),1+3/($DU$7*Hoja1!$E$2)*DU55)),DU55)</f>
        <v/>
      </c>
      <c r="DW55" s="47" t="b">
        <v>0</v>
      </c>
    </row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2024-05-03T14:02:57Z</dcterms:modified>
  <cp:lastModifiedBy>Leandro Gutierrez A.</cp:lastModifiedBy>
  <cp:lastPrinted>2012-11-30T22:55:58Z</cp:lastPrinted>
</cp:coreProperties>
</file>