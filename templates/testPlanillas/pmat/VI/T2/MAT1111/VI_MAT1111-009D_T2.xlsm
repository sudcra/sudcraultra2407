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50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ARANEDA JOHN ALEX</t>
        </is>
      </c>
      <c r="C10" s="14" t="inlineStr">
        <is>
          <t>212214124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 MORQUECHO JOHAIRA LUCY</t>
        </is>
      </c>
      <c r="C11" s="18" t="inlineStr">
        <is>
          <t>247553118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ARANCIBIA PINTO CONSTANZA CAROLINA</t>
        </is>
      </c>
      <c r="C12" s="14" t="inlineStr">
        <is>
          <t>201812305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BARCELO PIZARRO MATHIAS JOSE</t>
        </is>
      </c>
      <c r="C13" s="18" t="inlineStr">
        <is>
          <t>211405147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BASSO MUSSA VITTORIO DANTE</t>
        </is>
      </c>
      <c r="C14" s="14" t="inlineStr">
        <is>
          <t>214743604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BORQUEZ REYES JAIME ANDRES</t>
        </is>
      </c>
      <c r="C15" s="14" t="inlineStr">
        <is>
          <t>205223304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BUSTOS SOTO ADRIANA ALEJANDRA</t>
        </is>
      </c>
      <c r="C16" s="18" t="inlineStr">
        <is>
          <t>210875883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CAMIRUAGA ZAMBRANO SCARLETT ELIZABHET</t>
        </is>
      </c>
      <c r="C17" s="14" t="inlineStr">
        <is>
          <t>21955771K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CASAS ARAYA VICENTE IVAN</t>
        </is>
      </c>
      <c r="C18" s="14" t="inlineStr">
        <is>
          <t>21569111K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CISTERNA PINILLA ENYGER LIZETTE</t>
        </is>
      </c>
      <c r="C19" s="18" t="inlineStr">
        <is>
          <t>215948471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CORREA REYES CONSTANZA BELEN</t>
        </is>
      </c>
      <c r="C20" s="18" t="inlineStr">
        <is>
          <t>219990464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DONAIRE OLIVARES TABATHA JAVIERA</t>
        </is>
      </c>
      <c r="C21" s="18" t="inlineStr">
        <is>
          <t>213096516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DONOSO ACEVEDO HECTOR IVAN</t>
        </is>
      </c>
      <c r="C22" s="18" t="inlineStr">
        <is>
          <t>217453240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ESPARZA MUNOZ MAURO VICENTE</t>
        </is>
      </c>
      <c r="C23" s="18" t="inlineStr">
        <is>
          <t>206741597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FERNANDEZ TOLEDO LUKAS JOAQUIN</t>
        </is>
      </c>
      <c r="C24" s="18" t="inlineStr">
        <is>
          <t>219016786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FLORES KOSCINA MARTIN ALONSO</t>
        </is>
      </c>
      <c r="C25" s="18" t="inlineStr">
        <is>
          <t>204586624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GONZALEZ GODOY PABLO BENJAMIN</t>
        </is>
      </c>
      <c r="C26" s="18" t="inlineStr">
        <is>
          <t>220583244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GUIORGUIADEZ CANO AYLEEN CONSTANZA</t>
        </is>
      </c>
      <c r="C27" s="18" t="inlineStr">
        <is>
          <t>186183312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JIMENEZ GALAZ PABLO ANDRES</t>
        </is>
      </c>
      <c r="C28" s="18" t="inlineStr">
        <is>
          <t>206893516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LUND PAOLINELLI KURT SVEN</t>
        </is>
      </c>
      <c r="C29" s="18" t="inlineStr">
        <is>
          <t>219649215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LUPPI ROSENKRANZ RODRIGO</t>
        </is>
      </c>
      <c r="C30" s="18" t="inlineStr">
        <is>
          <t>191512545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MORALES PEDREROS VALENTINA MONSERRAT</t>
        </is>
      </c>
      <c r="C31" s="18" t="inlineStr">
        <is>
          <t>205045716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MORENO FIGUEROA DIEGO</t>
        </is>
      </c>
      <c r="C32" s="18" t="inlineStr">
        <is>
          <t>221042492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MUÑOZ GALLARDO ROCIO PAZ</t>
        </is>
      </c>
      <c r="C33" s="18" t="inlineStr">
        <is>
          <t>202550843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MUÑOZ OYARZUN GABRIEL FRANCISCO</t>
        </is>
      </c>
      <c r="C34" s="18" t="inlineStr">
        <is>
          <t>211510617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MUÑOZ ULLOA JAVIERA PAZ</t>
        </is>
      </c>
      <c r="C35" s="18" t="inlineStr">
        <is>
          <t>196428380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OSORIO BRIONES MATIAS ALEJANDRO</t>
        </is>
      </c>
      <c r="C36" s="18" t="inlineStr">
        <is>
          <t>214969335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OTAROLA EGANA CRISTOBAL EMMANUEL</t>
        </is>
      </c>
      <c r="C37" s="18" t="inlineStr">
        <is>
          <t>199932314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PEREZ PEREZ DYLAN ALEXIS</t>
        </is>
      </c>
      <c r="C38" s="18" t="inlineStr">
        <is>
          <t>196853499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POBLETE SOLIS MARIA BELEN DEL PILAR</t>
        </is>
      </c>
      <c r="C39" s="18" t="inlineStr">
        <is>
          <t>208511149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QUIROZ VILLAGRAN FLORENCIA ANTONIA</t>
        </is>
      </c>
      <c r="C40" s="18" t="inlineStr">
        <is>
          <t>217074770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RAMIREZ ELGUETA AXEL WILSON</t>
        </is>
      </c>
      <c r="C41" s="18" t="inlineStr">
        <is>
          <t>196153381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REVECO OLMOS VAITIARE IGNACIA</t>
        </is>
      </c>
      <c r="C42" s="18" t="inlineStr">
        <is>
          <t>209828987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RODRIGUEZ PALOMINO MAXIMILIANO ANDRES</t>
        </is>
      </c>
      <c r="C43" s="18" t="inlineStr">
        <is>
          <t>21734364K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>
      <c r="A44" s="17" t="n">
        <v>35</v>
      </c>
      <c r="B44" s="18" t="inlineStr">
        <is>
          <t>ROLDAN CAMPOS DIEGO IGNACIO</t>
        </is>
      </c>
      <c r="C44" s="18" t="inlineStr">
        <is>
          <t>202318878</t>
        </is>
      </c>
      <c r="D44" s="1" t="n"/>
      <c r="E44" s="28" t="n"/>
      <c r="F44" s="19" t="n"/>
      <c r="G44" s="19" t="n"/>
      <c r="H44" s="19" t="n"/>
      <c r="I44" s="19" t="n"/>
      <c r="J44" s="19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  <c r="X44" s="19" t="n"/>
      <c r="Y44" s="19" t="n"/>
      <c r="Z44" s="19" t="n"/>
      <c r="AA44" s="19" t="n"/>
      <c r="AB44" s="19" t="n"/>
      <c r="AC44" s="19" t="n"/>
      <c r="AD44" s="19" t="n"/>
      <c r="AE44" s="19" t="n"/>
      <c r="AF44" s="19" t="n"/>
      <c r="AG44" s="19" t="n"/>
      <c r="AH44" s="19" t="n"/>
      <c r="AI44" s="19" t="n"/>
      <c r="AJ44" s="19" t="n"/>
      <c r="AK44" s="19" t="n"/>
      <c r="AL44" s="19" t="n"/>
      <c r="AM44" s="19" t="n"/>
      <c r="AN44" s="19" t="n"/>
      <c r="AO44" s="19" t="n"/>
      <c r="AP44" s="19" t="n"/>
      <c r="AQ44" s="19" t="n"/>
      <c r="AR44" s="19" t="n"/>
      <c r="AS44" s="19" t="n"/>
      <c r="AT44" s="19" t="n"/>
      <c r="AU44" s="19" t="n"/>
      <c r="AV44" s="19" t="n"/>
      <c r="AW44" s="19" t="n"/>
      <c r="AX44" s="19" t="n"/>
      <c r="AY44" s="19" t="n"/>
      <c r="AZ44" s="19" t="n"/>
      <c r="BA44" s="19" t="n"/>
      <c r="BB44" s="19" t="n"/>
      <c r="BC44" s="19" t="n"/>
      <c r="BD44" s="19" t="n"/>
      <c r="BE44" s="19" t="n"/>
      <c r="BF44" s="19" t="n"/>
      <c r="BG44" s="19" t="n"/>
      <c r="BH44" s="19" t="n"/>
      <c r="BI44" s="19" t="n"/>
      <c r="BJ44" s="19" t="n"/>
      <c r="BK44" s="19" t="n"/>
      <c r="BL44" s="29" t="n"/>
      <c r="BM44">
        <f>IFERROR(VLOOKUP(BM$6,Hoja1!$F$2:$XFD$61,E44+4,FALSE),0)</f>
        <v/>
      </c>
      <c r="BN44">
        <f>IFERROR(VLOOKUP(BN$6,Hoja1!$F$2:$XFD$61,F44+4,FALSE),0)</f>
        <v/>
      </c>
      <c r="BO44">
        <f>IFERROR(VLOOKUP(BO$6,Hoja1!$F$2:$XFD$61,G44+4,FALSE),0)</f>
        <v/>
      </c>
      <c r="BP44">
        <f>IFERROR(VLOOKUP(BP$6,Hoja1!$F$2:$XFD$61,H44+4,FALSE),0)</f>
        <v/>
      </c>
      <c r="BQ44">
        <f>IFERROR(VLOOKUP(BQ$6,Hoja1!$F$2:$XFD$61,I44+4,FALSE),0)</f>
        <v/>
      </c>
      <c r="BR44">
        <f>IFERROR(VLOOKUP(BR$6,Hoja1!$F$2:$XFD$61,J44+4,FALSE),0)</f>
        <v/>
      </c>
      <c r="BS44">
        <f>IFERROR(VLOOKUP(BS$6,Hoja1!$F$2:$XFD$61,K44+4,FALSE),0)</f>
        <v/>
      </c>
      <c r="BT44">
        <f>IFERROR(VLOOKUP(BT$6,Hoja1!$F$2:$XFD$61,L44+4,FALSE),0)</f>
        <v/>
      </c>
      <c r="BU44">
        <f>IFERROR(VLOOKUP(BU$6,Hoja1!$F$2:$XFD$61,M44+4,FALSE),0)</f>
        <v/>
      </c>
      <c r="BV44">
        <f>IFERROR(VLOOKUP(BV$6,Hoja1!$F$2:$XFD$61,N44+4,FALSE),0)</f>
        <v/>
      </c>
      <c r="BW44">
        <f>IFERROR(VLOOKUP(BW$6,Hoja1!$F$2:$XFD$61,O44+4,FALSE),0)</f>
        <v/>
      </c>
      <c r="BX44">
        <f>IFERROR(VLOOKUP(BX$6,Hoja1!$F$2:$XFD$61,P44+4,FALSE),0)</f>
        <v/>
      </c>
      <c r="BY44">
        <f>IFERROR(VLOOKUP(BY$6,Hoja1!$F$2:$XFD$61,Q44+4,FALSE),0)</f>
        <v/>
      </c>
      <c r="BZ44">
        <f>IFERROR(VLOOKUP(BZ$6,Hoja1!$F$2:$XFD$61,R44+4,FALSE),0)</f>
        <v/>
      </c>
      <c r="CA44">
        <f>IFERROR(VLOOKUP(CA$6,Hoja1!$F$2:$XFD$61,S44+4,FALSE),0)</f>
        <v/>
      </c>
      <c r="CB44">
        <f>IFERROR(VLOOKUP(CB$6,Hoja1!$F$2:$XFD$61,T44+4,FALSE),0)</f>
        <v/>
      </c>
      <c r="CC44">
        <f>IFERROR(VLOOKUP(CC$6,Hoja1!$F$2:$XFD$61,U44+4,FALSE),0)</f>
        <v/>
      </c>
      <c r="CD44">
        <f>IFERROR(VLOOKUP(CD$6,Hoja1!$F$2:$XFD$61,V44+4,FALSE),0)</f>
        <v/>
      </c>
      <c r="CE44">
        <f>IFERROR(VLOOKUP(CE$6,Hoja1!$F$2:$XFD$61,W44+4,FALSE),0)</f>
        <v/>
      </c>
      <c r="CF44">
        <f>IFERROR(VLOOKUP(CF$6,Hoja1!$F$2:$XFD$61,X44+4,FALSE),0)</f>
        <v/>
      </c>
      <c r="CG44">
        <f>IFERROR(VLOOKUP(CG$6,Hoja1!$F$2:$XFD$61,Y44+4,FALSE),0)</f>
        <v/>
      </c>
      <c r="CH44">
        <f>IFERROR(VLOOKUP(CH$6,Hoja1!$F$2:$XFD$61,Z44+4,FALSE),0)</f>
        <v/>
      </c>
      <c r="CI44">
        <f>IFERROR(VLOOKUP(CI$6,Hoja1!$F$2:$XFD$61,AA44+4,FALSE),0)</f>
        <v/>
      </c>
      <c r="CJ44">
        <f>IFERROR(VLOOKUP(CJ$6,Hoja1!$F$2:$XFD$61,AB44+4,FALSE),0)</f>
        <v/>
      </c>
      <c r="CK44">
        <f>IFERROR(VLOOKUP(CK$6,Hoja1!$F$2:$XFD$61,AC44+4,FALSE),0)</f>
        <v/>
      </c>
      <c r="CL44">
        <f>IFERROR(VLOOKUP(CL$6,Hoja1!$F$2:$XFD$61,AD44+4,FALSE),0)</f>
        <v/>
      </c>
      <c r="CM44">
        <f>IFERROR(VLOOKUP(CM$6,Hoja1!$F$2:$XFD$61,AE44+4,FALSE),0)</f>
        <v/>
      </c>
      <c r="CN44">
        <f>IFERROR(VLOOKUP(CN$6,Hoja1!$F$2:$XFD$61,AF44+4,FALSE),0)</f>
        <v/>
      </c>
      <c r="CO44">
        <f>IFERROR(VLOOKUP(CO$6,Hoja1!$F$2:$XFD$61,AG44+4,FALSE),0)</f>
        <v/>
      </c>
      <c r="CP44">
        <f>IFERROR(VLOOKUP(CP$6,Hoja1!$F$2:$XFD$61,AH44+4,FALSE),0)</f>
        <v/>
      </c>
      <c r="CQ44">
        <f>IFERROR(VLOOKUP(CQ$6,Hoja1!$F$2:$XFD$61,AI44+4,FALSE),0)</f>
        <v/>
      </c>
      <c r="CR44">
        <f>IFERROR(VLOOKUP(CR$6,Hoja1!$F$2:$XFD$61,AJ44+4,FALSE),0)</f>
        <v/>
      </c>
      <c r="CS44">
        <f>IFERROR(VLOOKUP(CS$6,Hoja1!$F$2:$XFD$61,AK44+4,FALSE),0)</f>
        <v/>
      </c>
      <c r="CT44">
        <f>IFERROR(VLOOKUP(CT$6,Hoja1!$F$2:$XFD$61,AL44+4,FALSE),0)</f>
        <v/>
      </c>
      <c r="CU44">
        <f>IFERROR(VLOOKUP(CU$6,Hoja1!$F$2:$XFD$61,AM44+4,FALSE),0)</f>
        <v/>
      </c>
      <c r="CV44">
        <f>IFERROR(VLOOKUP(CV$6,Hoja1!$F$2:$XFD$61,AN44+4,FALSE),0)</f>
        <v/>
      </c>
      <c r="CW44">
        <f>IFERROR(VLOOKUP(CW$6,Hoja1!$F$2:$XFD$61,AO44+4,FALSE),0)</f>
        <v/>
      </c>
      <c r="CX44">
        <f>IFERROR(VLOOKUP(CX$6,Hoja1!$F$2:$XFD$61,AP44+4,FALSE),0)</f>
        <v/>
      </c>
      <c r="CY44">
        <f>IFERROR(VLOOKUP(CY$6,Hoja1!$F$2:$XFD$61,AQ44+4,FALSE),0)</f>
        <v/>
      </c>
      <c r="CZ44">
        <f>IFERROR(VLOOKUP(CZ$6,Hoja1!$F$2:$XFD$61,AR44+4,FALSE),0)</f>
        <v/>
      </c>
      <c r="DA44">
        <f>IFERROR(VLOOKUP(DA$6,Hoja1!$F$2:$XFD$61,AS44+4,FALSE),0)</f>
        <v/>
      </c>
      <c r="DB44">
        <f>IFERROR(VLOOKUP(DB$6,Hoja1!$F$2:$XFD$61,AT44+4,FALSE),0)</f>
        <v/>
      </c>
      <c r="DC44">
        <f>IFERROR(VLOOKUP(DC$6,Hoja1!$F$2:$XFD$61,AU44+4,FALSE),0)</f>
        <v/>
      </c>
      <c r="DD44">
        <f>IFERROR(VLOOKUP(DD$6,Hoja1!$F$2:$XFD$61,AV44+4,FALSE),0)</f>
        <v/>
      </c>
      <c r="DE44">
        <f>IFERROR(VLOOKUP(DE$6,Hoja1!$F$2:$XFD$61,AW44+4,FALSE),0)</f>
        <v/>
      </c>
      <c r="DF44">
        <f>IFERROR(VLOOKUP(DF$6,Hoja1!$F$2:$XFD$61,AX44+4,FALSE),0)</f>
        <v/>
      </c>
      <c r="DG44">
        <f>IFERROR(VLOOKUP(DG$6,Hoja1!$F$2:$XFD$61,AY44+4,FALSE),0)</f>
        <v/>
      </c>
      <c r="DH44">
        <f>IFERROR(VLOOKUP(DH$6,Hoja1!$F$2:$XFD$61,AZ44+4,FALSE),0)</f>
        <v/>
      </c>
      <c r="DI44">
        <f>IFERROR(VLOOKUP(DI$6,Hoja1!$F$2:$XFD$61,BA44+4,FALSE),0)</f>
        <v/>
      </c>
      <c r="DJ44">
        <f>IFERROR(VLOOKUP(DJ$6,Hoja1!$F$2:$XFD$61,BB44+4,FALSE),0)</f>
        <v/>
      </c>
      <c r="DK44">
        <f>IFERROR(VLOOKUP(DK$6,Hoja1!$F$2:$XFD$61,BC44+4,FALSE),0)</f>
        <v/>
      </c>
      <c r="DL44">
        <f>IFERROR(VLOOKUP(DL$6,Hoja1!$F$2:$XFD$61,BD44+4,FALSE),0)</f>
        <v/>
      </c>
      <c r="DM44">
        <f>IFERROR(VLOOKUP(DM$6,Hoja1!$F$2:$XFD$61,BE44+4,FALSE),0)</f>
        <v/>
      </c>
      <c r="DN44">
        <f>IFERROR(VLOOKUP(DN$6,Hoja1!$F$2:$XFD$61,BF44+4,FALSE),0)</f>
        <v/>
      </c>
      <c r="DO44">
        <f>IFERROR(VLOOKUP(DO$6,Hoja1!$F$2:$XFD$61,BG44+4,FALSE),0)</f>
        <v/>
      </c>
      <c r="DP44">
        <f>IFERROR(VLOOKUP(DP$6,Hoja1!$F$2:$XFD$61,BH44+4,FALSE),0)</f>
        <v/>
      </c>
      <c r="DQ44">
        <f>IFERROR(VLOOKUP(DQ$6,Hoja1!$F$2:$XFD$61,BI44+4,FALSE),0)</f>
        <v/>
      </c>
      <c r="DR44">
        <f>IFERROR(VLOOKUP(DR$6,Hoja1!$F$2:$XFD$61,BJ44+4,FALSE),0)</f>
        <v/>
      </c>
      <c r="DS44">
        <f>IFERROR(VLOOKUP(DS$6,Hoja1!$F$2:$XFD$61,BK44+4,FALSE),0)</f>
        <v/>
      </c>
      <c r="DT44">
        <f>IFERROR(VLOOKUP(DT$6,Hoja1!$F$2:$XFD$61,BL44+4,FALSE),0)</f>
        <v/>
      </c>
      <c r="DU44" s="15">
        <f>IF(COUNT(E44:BL44)=$DV$7,IF(D44="","indique grupo",SUM(BM44:DT44)),"")</f>
        <v/>
      </c>
      <c r="DV44" s="16">
        <f>IF(D44&lt;&gt;"",IF(DU44="","",IF(DU44&gt;=$DU$7*Hoja1!$E$2,4+3/($DU$7*(1-Hoja1!$E$2))*(DU44-$DU$7*Hoja1!$E$2),1+3/($DU$7*Hoja1!$E$2)*DU44)),DU44)</f>
        <v/>
      </c>
      <c r="DW44" s="47" t="b">
        <v>0</v>
      </c>
    </row>
    <row r="45" ht="23.25" customHeight="1">
      <c r="A45" s="17" t="n">
        <v>36</v>
      </c>
      <c r="B45" s="18" t="inlineStr">
        <is>
          <t>VALENZUELA CATALAN MARCELO MANUEL</t>
        </is>
      </c>
      <c r="C45" s="18" t="inlineStr">
        <is>
          <t>212880981</t>
        </is>
      </c>
      <c r="D45" s="1" t="n"/>
      <c r="E45" s="28" t="n"/>
      <c r="F45" s="19" t="n"/>
      <c r="G45" s="19" t="n"/>
      <c r="H45" s="19" t="n"/>
      <c r="I45" s="19" t="n"/>
      <c r="J45" s="19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  <c r="X45" s="19" t="n"/>
      <c r="Y45" s="19" t="n"/>
      <c r="Z45" s="19" t="n"/>
      <c r="AA45" s="19" t="n"/>
      <c r="AB45" s="19" t="n"/>
      <c r="AC45" s="19" t="n"/>
      <c r="AD45" s="19" t="n"/>
      <c r="AE45" s="19" t="n"/>
      <c r="AF45" s="19" t="n"/>
      <c r="AG45" s="19" t="n"/>
      <c r="AH45" s="19" t="n"/>
      <c r="AI45" s="19" t="n"/>
      <c r="AJ45" s="19" t="n"/>
      <c r="AK45" s="19" t="n"/>
      <c r="AL45" s="19" t="n"/>
      <c r="AM45" s="19" t="n"/>
      <c r="AN45" s="19" t="n"/>
      <c r="AO45" s="19" t="n"/>
      <c r="AP45" s="19" t="n"/>
      <c r="AQ45" s="19" t="n"/>
      <c r="AR45" s="19" t="n"/>
      <c r="AS45" s="19" t="n"/>
      <c r="AT45" s="19" t="n"/>
      <c r="AU45" s="19" t="n"/>
      <c r="AV45" s="19" t="n"/>
      <c r="AW45" s="19" t="n"/>
      <c r="AX45" s="19" t="n"/>
      <c r="AY45" s="19" t="n"/>
      <c r="AZ45" s="19" t="n"/>
      <c r="BA45" s="19" t="n"/>
      <c r="BB45" s="19" t="n"/>
      <c r="BC45" s="19" t="n"/>
      <c r="BD45" s="19" t="n"/>
      <c r="BE45" s="19" t="n"/>
      <c r="BF45" s="19" t="n"/>
      <c r="BG45" s="19" t="n"/>
      <c r="BH45" s="19" t="n"/>
      <c r="BI45" s="19" t="n"/>
      <c r="BJ45" s="19" t="n"/>
      <c r="BK45" s="19" t="n"/>
      <c r="BL45" s="29" t="n"/>
      <c r="BM45">
        <f>IFERROR(VLOOKUP(BM$6,Hoja1!$F$2:$XFD$61,E45+4,FALSE),0)</f>
        <v/>
      </c>
      <c r="BN45">
        <f>IFERROR(VLOOKUP(BN$6,Hoja1!$F$2:$XFD$61,F45+4,FALSE),0)</f>
        <v/>
      </c>
      <c r="BO45">
        <f>IFERROR(VLOOKUP(BO$6,Hoja1!$F$2:$XFD$61,G45+4,FALSE),0)</f>
        <v/>
      </c>
      <c r="BP45">
        <f>IFERROR(VLOOKUP(BP$6,Hoja1!$F$2:$XFD$61,H45+4,FALSE),0)</f>
        <v/>
      </c>
      <c r="BQ45">
        <f>IFERROR(VLOOKUP(BQ$6,Hoja1!$F$2:$XFD$61,I45+4,FALSE),0)</f>
        <v/>
      </c>
      <c r="BR45">
        <f>IFERROR(VLOOKUP(BR$6,Hoja1!$F$2:$XFD$61,J45+4,FALSE),0)</f>
        <v/>
      </c>
      <c r="BS45">
        <f>IFERROR(VLOOKUP(BS$6,Hoja1!$F$2:$XFD$61,K45+4,FALSE),0)</f>
        <v/>
      </c>
      <c r="BT45">
        <f>IFERROR(VLOOKUP(BT$6,Hoja1!$F$2:$XFD$61,L45+4,FALSE),0)</f>
        <v/>
      </c>
      <c r="BU45">
        <f>IFERROR(VLOOKUP(BU$6,Hoja1!$F$2:$XFD$61,M45+4,FALSE),0)</f>
        <v/>
      </c>
      <c r="BV45">
        <f>IFERROR(VLOOKUP(BV$6,Hoja1!$F$2:$XFD$61,N45+4,FALSE),0)</f>
        <v/>
      </c>
      <c r="BW45">
        <f>IFERROR(VLOOKUP(BW$6,Hoja1!$F$2:$XFD$61,O45+4,FALSE),0)</f>
        <v/>
      </c>
      <c r="BX45">
        <f>IFERROR(VLOOKUP(BX$6,Hoja1!$F$2:$XFD$61,P45+4,FALSE),0)</f>
        <v/>
      </c>
      <c r="BY45">
        <f>IFERROR(VLOOKUP(BY$6,Hoja1!$F$2:$XFD$61,Q45+4,FALSE),0)</f>
        <v/>
      </c>
      <c r="BZ45">
        <f>IFERROR(VLOOKUP(BZ$6,Hoja1!$F$2:$XFD$61,R45+4,FALSE),0)</f>
        <v/>
      </c>
      <c r="CA45">
        <f>IFERROR(VLOOKUP(CA$6,Hoja1!$F$2:$XFD$61,S45+4,FALSE),0)</f>
        <v/>
      </c>
      <c r="CB45">
        <f>IFERROR(VLOOKUP(CB$6,Hoja1!$F$2:$XFD$61,T45+4,FALSE),0)</f>
        <v/>
      </c>
      <c r="CC45">
        <f>IFERROR(VLOOKUP(CC$6,Hoja1!$F$2:$XFD$61,U45+4,FALSE),0)</f>
        <v/>
      </c>
      <c r="CD45">
        <f>IFERROR(VLOOKUP(CD$6,Hoja1!$F$2:$XFD$61,V45+4,FALSE),0)</f>
        <v/>
      </c>
      <c r="CE45">
        <f>IFERROR(VLOOKUP(CE$6,Hoja1!$F$2:$XFD$61,W45+4,FALSE),0)</f>
        <v/>
      </c>
      <c r="CF45">
        <f>IFERROR(VLOOKUP(CF$6,Hoja1!$F$2:$XFD$61,X45+4,FALSE),0)</f>
        <v/>
      </c>
      <c r="CG45">
        <f>IFERROR(VLOOKUP(CG$6,Hoja1!$F$2:$XFD$61,Y45+4,FALSE),0)</f>
        <v/>
      </c>
      <c r="CH45">
        <f>IFERROR(VLOOKUP(CH$6,Hoja1!$F$2:$XFD$61,Z45+4,FALSE),0)</f>
        <v/>
      </c>
      <c r="CI45">
        <f>IFERROR(VLOOKUP(CI$6,Hoja1!$F$2:$XFD$61,AA45+4,FALSE),0)</f>
        <v/>
      </c>
      <c r="CJ45">
        <f>IFERROR(VLOOKUP(CJ$6,Hoja1!$F$2:$XFD$61,AB45+4,FALSE),0)</f>
        <v/>
      </c>
      <c r="CK45">
        <f>IFERROR(VLOOKUP(CK$6,Hoja1!$F$2:$XFD$61,AC45+4,FALSE),0)</f>
        <v/>
      </c>
      <c r="CL45">
        <f>IFERROR(VLOOKUP(CL$6,Hoja1!$F$2:$XFD$61,AD45+4,FALSE),0)</f>
        <v/>
      </c>
      <c r="CM45">
        <f>IFERROR(VLOOKUP(CM$6,Hoja1!$F$2:$XFD$61,AE45+4,FALSE),0)</f>
        <v/>
      </c>
      <c r="CN45">
        <f>IFERROR(VLOOKUP(CN$6,Hoja1!$F$2:$XFD$61,AF45+4,FALSE),0)</f>
        <v/>
      </c>
      <c r="CO45">
        <f>IFERROR(VLOOKUP(CO$6,Hoja1!$F$2:$XFD$61,AG45+4,FALSE),0)</f>
        <v/>
      </c>
      <c r="CP45">
        <f>IFERROR(VLOOKUP(CP$6,Hoja1!$F$2:$XFD$61,AH45+4,FALSE),0)</f>
        <v/>
      </c>
      <c r="CQ45">
        <f>IFERROR(VLOOKUP(CQ$6,Hoja1!$F$2:$XFD$61,AI45+4,FALSE),0)</f>
        <v/>
      </c>
      <c r="CR45">
        <f>IFERROR(VLOOKUP(CR$6,Hoja1!$F$2:$XFD$61,AJ45+4,FALSE),0)</f>
        <v/>
      </c>
      <c r="CS45">
        <f>IFERROR(VLOOKUP(CS$6,Hoja1!$F$2:$XFD$61,AK45+4,FALSE),0)</f>
        <v/>
      </c>
      <c r="CT45">
        <f>IFERROR(VLOOKUP(CT$6,Hoja1!$F$2:$XFD$61,AL45+4,FALSE),0)</f>
        <v/>
      </c>
      <c r="CU45">
        <f>IFERROR(VLOOKUP(CU$6,Hoja1!$F$2:$XFD$61,AM45+4,FALSE),0)</f>
        <v/>
      </c>
      <c r="CV45">
        <f>IFERROR(VLOOKUP(CV$6,Hoja1!$F$2:$XFD$61,AN45+4,FALSE),0)</f>
        <v/>
      </c>
      <c r="CW45">
        <f>IFERROR(VLOOKUP(CW$6,Hoja1!$F$2:$XFD$61,AO45+4,FALSE),0)</f>
        <v/>
      </c>
      <c r="CX45">
        <f>IFERROR(VLOOKUP(CX$6,Hoja1!$F$2:$XFD$61,AP45+4,FALSE),0)</f>
        <v/>
      </c>
      <c r="CY45">
        <f>IFERROR(VLOOKUP(CY$6,Hoja1!$F$2:$XFD$61,AQ45+4,FALSE),0)</f>
        <v/>
      </c>
      <c r="CZ45">
        <f>IFERROR(VLOOKUP(CZ$6,Hoja1!$F$2:$XFD$61,AR45+4,FALSE),0)</f>
        <v/>
      </c>
      <c r="DA45">
        <f>IFERROR(VLOOKUP(DA$6,Hoja1!$F$2:$XFD$61,AS45+4,FALSE),0)</f>
        <v/>
      </c>
      <c r="DB45">
        <f>IFERROR(VLOOKUP(DB$6,Hoja1!$F$2:$XFD$61,AT45+4,FALSE),0)</f>
        <v/>
      </c>
      <c r="DC45">
        <f>IFERROR(VLOOKUP(DC$6,Hoja1!$F$2:$XFD$61,AU45+4,FALSE),0)</f>
        <v/>
      </c>
      <c r="DD45">
        <f>IFERROR(VLOOKUP(DD$6,Hoja1!$F$2:$XFD$61,AV45+4,FALSE),0)</f>
        <v/>
      </c>
      <c r="DE45">
        <f>IFERROR(VLOOKUP(DE$6,Hoja1!$F$2:$XFD$61,AW45+4,FALSE),0)</f>
        <v/>
      </c>
      <c r="DF45">
        <f>IFERROR(VLOOKUP(DF$6,Hoja1!$F$2:$XFD$61,AX45+4,FALSE),0)</f>
        <v/>
      </c>
      <c r="DG45">
        <f>IFERROR(VLOOKUP(DG$6,Hoja1!$F$2:$XFD$61,AY45+4,FALSE),0)</f>
        <v/>
      </c>
      <c r="DH45">
        <f>IFERROR(VLOOKUP(DH$6,Hoja1!$F$2:$XFD$61,AZ45+4,FALSE),0)</f>
        <v/>
      </c>
      <c r="DI45">
        <f>IFERROR(VLOOKUP(DI$6,Hoja1!$F$2:$XFD$61,BA45+4,FALSE),0)</f>
        <v/>
      </c>
      <c r="DJ45">
        <f>IFERROR(VLOOKUP(DJ$6,Hoja1!$F$2:$XFD$61,BB45+4,FALSE),0)</f>
        <v/>
      </c>
      <c r="DK45">
        <f>IFERROR(VLOOKUP(DK$6,Hoja1!$F$2:$XFD$61,BC45+4,FALSE),0)</f>
        <v/>
      </c>
      <c r="DL45">
        <f>IFERROR(VLOOKUP(DL$6,Hoja1!$F$2:$XFD$61,BD45+4,FALSE),0)</f>
        <v/>
      </c>
      <c r="DM45">
        <f>IFERROR(VLOOKUP(DM$6,Hoja1!$F$2:$XFD$61,BE45+4,FALSE),0)</f>
        <v/>
      </c>
      <c r="DN45">
        <f>IFERROR(VLOOKUP(DN$6,Hoja1!$F$2:$XFD$61,BF45+4,FALSE),0)</f>
        <v/>
      </c>
      <c r="DO45">
        <f>IFERROR(VLOOKUP(DO$6,Hoja1!$F$2:$XFD$61,BG45+4,FALSE),0)</f>
        <v/>
      </c>
      <c r="DP45">
        <f>IFERROR(VLOOKUP(DP$6,Hoja1!$F$2:$XFD$61,BH45+4,FALSE),0)</f>
        <v/>
      </c>
      <c r="DQ45">
        <f>IFERROR(VLOOKUP(DQ$6,Hoja1!$F$2:$XFD$61,BI45+4,FALSE),0)</f>
        <v/>
      </c>
      <c r="DR45">
        <f>IFERROR(VLOOKUP(DR$6,Hoja1!$F$2:$XFD$61,BJ45+4,FALSE),0)</f>
        <v/>
      </c>
      <c r="DS45">
        <f>IFERROR(VLOOKUP(DS$6,Hoja1!$F$2:$XFD$61,BK45+4,FALSE),0)</f>
        <v/>
      </c>
      <c r="DT45">
        <f>IFERROR(VLOOKUP(DT$6,Hoja1!$F$2:$XFD$61,BL45+4,FALSE),0)</f>
        <v/>
      </c>
      <c r="DU45" s="15">
        <f>IF(COUNT(E45:BL45)=$DV$7,IF(D45="","indique grupo",SUM(BM45:DT45)),"")</f>
        <v/>
      </c>
      <c r="DV45" s="16">
        <f>IF(D45&lt;&gt;"",IF(DU45="","",IF(DU45&gt;=$DU$7*Hoja1!$E$2,4+3/($DU$7*(1-Hoja1!$E$2))*(DU45-$DU$7*Hoja1!$E$2),1+3/($DU$7*Hoja1!$E$2)*DU45)),DU45)</f>
        <v/>
      </c>
      <c r="DW45" s="47" t="b">
        <v>0</v>
      </c>
    </row>
    <row r="46" ht="23.25" customHeight="1">
      <c r="A46" s="17" t="n">
        <v>37</v>
      </c>
      <c r="B46" s="18" t="inlineStr">
        <is>
          <t>VARGAS GONZALEZ YISSEL TAMARA</t>
        </is>
      </c>
      <c r="C46" s="18" t="inlineStr">
        <is>
          <t>208769316</t>
        </is>
      </c>
      <c r="D46" s="1" t="n"/>
      <c r="E46" s="28" t="n"/>
      <c r="F46" s="19" t="n"/>
      <c r="G46" s="19" t="n"/>
      <c r="H46" s="19" t="n"/>
      <c r="I46" s="19" t="n"/>
      <c r="J46" s="19" t="n"/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  <c r="X46" s="19" t="n"/>
      <c r="Y46" s="19" t="n"/>
      <c r="Z46" s="19" t="n"/>
      <c r="AA46" s="19" t="n"/>
      <c r="AB46" s="19" t="n"/>
      <c r="AC46" s="19" t="n"/>
      <c r="AD46" s="19" t="n"/>
      <c r="AE46" s="19" t="n"/>
      <c r="AF46" s="19" t="n"/>
      <c r="AG46" s="19" t="n"/>
      <c r="AH46" s="19" t="n"/>
      <c r="AI46" s="19" t="n"/>
      <c r="AJ46" s="19" t="n"/>
      <c r="AK46" s="19" t="n"/>
      <c r="AL46" s="19" t="n"/>
      <c r="AM46" s="19" t="n"/>
      <c r="AN46" s="19" t="n"/>
      <c r="AO46" s="19" t="n"/>
      <c r="AP46" s="19" t="n"/>
      <c r="AQ46" s="19" t="n"/>
      <c r="AR46" s="19" t="n"/>
      <c r="AS46" s="19" t="n"/>
      <c r="AT46" s="19" t="n"/>
      <c r="AU46" s="19" t="n"/>
      <c r="AV46" s="19" t="n"/>
      <c r="AW46" s="19" t="n"/>
      <c r="AX46" s="19" t="n"/>
      <c r="AY46" s="19" t="n"/>
      <c r="AZ46" s="19" t="n"/>
      <c r="BA46" s="19" t="n"/>
      <c r="BB46" s="19" t="n"/>
      <c r="BC46" s="19" t="n"/>
      <c r="BD46" s="19" t="n"/>
      <c r="BE46" s="19" t="n"/>
      <c r="BF46" s="19" t="n"/>
      <c r="BG46" s="19" t="n"/>
      <c r="BH46" s="19" t="n"/>
      <c r="BI46" s="19" t="n"/>
      <c r="BJ46" s="19" t="n"/>
      <c r="BK46" s="19" t="n"/>
      <c r="BL46" s="29" t="n"/>
      <c r="BM46">
        <f>IFERROR(VLOOKUP(BM$6,Hoja1!$F$2:$XFD$61,E46+4,FALSE),0)</f>
        <v/>
      </c>
      <c r="BN46">
        <f>IFERROR(VLOOKUP(BN$6,Hoja1!$F$2:$XFD$61,F46+4,FALSE),0)</f>
        <v/>
      </c>
      <c r="BO46">
        <f>IFERROR(VLOOKUP(BO$6,Hoja1!$F$2:$XFD$61,G46+4,FALSE),0)</f>
        <v/>
      </c>
      <c r="BP46">
        <f>IFERROR(VLOOKUP(BP$6,Hoja1!$F$2:$XFD$61,H46+4,FALSE),0)</f>
        <v/>
      </c>
      <c r="BQ46">
        <f>IFERROR(VLOOKUP(BQ$6,Hoja1!$F$2:$XFD$61,I46+4,FALSE),0)</f>
        <v/>
      </c>
      <c r="BR46">
        <f>IFERROR(VLOOKUP(BR$6,Hoja1!$F$2:$XFD$61,J46+4,FALSE),0)</f>
        <v/>
      </c>
      <c r="BS46">
        <f>IFERROR(VLOOKUP(BS$6,Hoja1!$F$2:$XFD$61,K46+4,FALSE),0)</f>
        <v/>
      </c>
      <c r="BT46">
        <f>IFERROR(VLOOKUP(BT$6,Hoja1!$F$2:$XFD$61,L46+4,FALSE),0)</f>
        <v/>
      </c>
      <c r="BU46">
        <f>IFERROR(VLOOKUP(BU$6,Hoja1!$F$2:$XFD$61,M46+4,FALSE),0)</f>
        <v/>
      </c>
      <c r="BV46">
        <f>IFERROR(VLOOKUP(BV$6,Hoja1!$F$2:$XFD$61,N46+4,FALSE),0)</f>
        <v/>
      </c>
      <c r="BW46">
        <f>IFERROR(VLOOKUP(BW$6,Hoja1!$F$2:$XFD$61,O46+4,FALSE),0)</f>
        <v/>
      </c>
      <c r="BX46">
        <f>IFERROR(VLOOKUP(BX$6,Hoja1!$F$2:$XFD$61,P46+4,FALSE),0)</f>
        <v/>
      </c>
      <c r="BY46">
        <f>IFERROR(VLOOKUP(BY$6,Hoja1!$F$2:$XFD$61,Q46+4,FALSE),0)</f>
        <v/>
      </c>
      <c r="BZ46">
        <f>IFERROR(VLOOKUP(BZ$6,Hoja1!$F$2:$XFD$61,R46+4,FALSE),0)</f>
        <v/>
      </c>
      <c r="CA46">
        <f>IFERROR(VLOOKUP(CA$6,Hoja1!$F$2:$XFD$61,S46+4,FALSE),0)</f>
        <v/>
      </c>
      <c r="CB46">
        <f>IFERROR(VLOOKUP(CB$6,Hoja1!$F$2:$XFD$61,T46+4,FALSE),0)</f>
        <v/>
      </c>
      <c r="CC46">
        <f>IFERROR(VLOOKUP(CC$6,Hoja1!$F$2:$XFD$61,U46+4,FALSE),0)</f>
        <v/>
      </c>
      <c r="CD46">
        <f>IFERROR(VLOOKUP(CD$6,Hoja1!$F$2:$XFD$61,V46+4,FALSE),0)</f>
        <v/>
      </c>
      <c r="CE46">
        <f>IFERROR(VLOOKUP(CE$6,Hoja1!$F$2:$XFD$61,W46+4,FALSE),0)</f>
        <v/>
      </c>
      <c r="CF46">
        <f>IFERROR(VLOOKUP(CF$6,Hoja1!$F$2:$XFD$61,X46+4,FALSE),0)</f>
        <v/>
      </c>
      <c r="CG46">
        <f>IFERROR(VLOOKUP(CG$6,Hoja1!$F$2:$XFD$61,Y46+4,FALSE),0)</f>
        <v/>
      </c>
      <c r="CH46">
        <f>IFERROR(VLOOKUP(CH$6,Hoja1!$F$2:$XFD$61,Z46+4,FALSE),0)</f>
        <v/>
      </c>
      <c r="CI46">
        <f>IFERROR(VLOOKUP(CI$6,Hoja1!$F$2:$XFD$61,AA46+4,FALSE),0)</f>
        <v/>
      </c>
      <c r="CJ46">
        <f>IFERROR(VLOOKUP(CJ$6,Hoja1!$F$2:$XFD$61,AB46+4,FALSE),0)</f>
        <v/>
      </c>
      <c r="CK46">
        <f>IFERROR(VLOOKUP(CK$6,Hoja1!$F$2:$XFD$61,AC46+4,FALSE),0)</f>
        <v/>
      </c>
      <c r="CL46">
        <f>IFERROR(VLOOKUP(CL$6,Hoja1!$F$2:$XFD$61,AD46+4,FALSE),0)</f>
        <v/>
      </c>
      <c r="CM46">
        <f>IFERROR(VLOOKUP(CM$6,Hoja1!$F$2:$XFD$61,AE46+4,FALSE),0)</f>
        <v/>
      </c>
      <c r="CN46">
        <f>IFERROR(VLOOKUP(CN$6,Hoja1!$F$2:$XFD$61,AF46+4,FALSE),0)</f>
        <v/>
      </c>
      <c r="CO46">
        <f>IFERROR(VLOOKUP(CO$6,Hoja1!$F$2:$XFD$61,AG46+4,FALSE),0)</f>
        <v/>
      </c>
      <c r="CP46">
        <f>IFERROR(VLOOKUP(CP$6,Hoja1!$F$2:$XFD$61,AH46+4,FALSE),0)</f>
        <v/>
      </c>
      <c r="CQ46">
        <f>IFERROR(VLOOKUP(CQ$6,Hoja1!$F$2:$XFD$61,AI46+4,FALSE),0)</f>
        <v/>
      </c>
      <c r="CR46">
        <f>IFERROR(VLOOKUP(CR$6,Hoja1!$F$2:$XFD$61,AJ46+4,FALSE),0)</f>
        <v/>
      </c>
      <c r="CS46">
        <f>IFERROR(VLOOKUP(CS$6,Hoja1!$F$2:$XFD$61,AK46+4,FALSE),0)</f>
        <v/>
      </c>
      <c r="CT46">
        <f>IFERROR(VLOOKUP(CT$6,Hoja1!$F$2:$XFD$61,AL46+4,FALSE),0)</f>
        <v/>
      </c>
      <c r="CU46">
        <f>IFERROR(VLOOKUP(CU$6,Hoja1!$F$2:$XFD$61,AM46+4,FALSE),0)</f>
        <v/>
      </c>
      <c r="CV46">
        <f>IFERROR(VLOOKUP(CV$6,Hoja1!$F$2:$XFD$61,AN46+4,FALSE),0)</f>
        <v/>
      </c>
      <c r="CW46">
        <f>IFERROR(VLOOKUP(CW$6,Hoja1!$F$2:$XFD$61,AO46+4,FALSE),0)</f>
        <v/>
      </c>
      <c r="CX46">
        <f>IFERROR(VLOOKUP(CX$6,Hoja1!$F$2:$XFD$61,AP46+4,FALSE),0)</f>
        <v/>
      </c>
      <c r="CY46">
        <f>IFERROR(VLOOKUP(CY$6,Hoja1!$F$2:$XFD$61,AQ46+4,FALSE),0)</f>
        <v/>
      </c>
      <c r="CZ46">
        <f>IFERROR(VLOOKUP(CZ$6,Hoja1!$F$2:$XFD$61,AR46+4,FALSE),0)</f>
        <v/>
      </c>
      <c r="DA46">
        <f>IFERROR(VLOOKUP(DA$6,Hoja1!$F$2:$XFD$61,AS46+4,FALSE),0)</f>
        <v/>
      </c>
      <c r="DB46">
        <f>IFERROR(VLOOKUP(DB$6,Hoja1!$F$2:$XFD$61,AT46+4,FALSE),0)</f>
        <v/>
      </c>
      <c r="DC46">
        <f>IFERROR(VLOOKUP(DC$6,Hoja1!$F$2:$XFD$61,AU46+4,FALSE),0)</f>
        <v/>
      </c>
      <c r="DD46">
        <f>IFERROR(VLOOKUP(DD$6,Hoja1!$F$2:$XFD$61,AV46+4,FALSE),0)</f>
        <v/>
      </c>
      <c r="DE46">
        <f>IFERROR(VLOOKUP(DE$6,Hoja1!$F$2:$XFD$61,AW46+4,FALSE),0)</f>
        <v/>
      </c>
      <c r="DF46">
        <f>IFERROR(VLOOKUP(DF$6,Hoja1!$F$2:$XFD$61,AX46+4,FALSE),0)</f>
        <v/>
      </c>
      <c r="DG46">
        <f>IFERROR(VLOOKUP(DG$6,Hoja1!$F$2:$XFD$61,AY46+4,FALSE),0)</f>
        <v/>
      </c>
      <c r="DH46">
        <f>IFERROR(VLOOKUP(DH$6,Hoja1!$F$2:$XFD$61,AZ46+4,FALSE),0)</f>
        <v/>
      </c>
      <c r="DI46">
        <f>IFERROR(VLOOKUP(DI$6,Hoja1!$F$2:$XFD$61,BA46+4,FALSE),0)</f>
        <v/>
      </c>
      <c r="DJ46">
        <f>IFERROR(VLOOKUP(DJ$6,Hoja1!$F$2:$XFD$61,BB46+4,FALSE),0)</f>
        <v/>
      </c>
      <c r="DK46">
        <f>IFERROR(VLOOKUP(DK$6,Hoja1!$F$2:$XFD$61,BC46+4,FALSE),0)</f>
        <v/>
      </c>
      <c r="DL46">
        <f>IFERROR(VLOOKUP(DL$6,Hoja1!$F$2:$XFD$61,BD46+4,FALSE),0)</f>
        <v/>
      </c>
      <c r="DM46">
        <f>IFERROR(VLOOKUP(DM$6,Hoja1!$F$2:$XFD$61,BE46+4,FALSE),0)</f>
        <v/>
      </c>
      <c r="DN46">
        <f>IFERROR(VLOOKUP(DN$6,Hoja1!$F$2:$XFD$61,BF46+4,FALSE),0)</f>
        <v/>
      </c>
      <c r="DO46">
        <f>IFERROR(VLOOKUP(DO$6,Hoja1!$F$2:$XFD$61,BG46+4,FALSE),0)</f>
        <v/>
      </c>
      <c r="DP46">
        <f>IFERROR(VLOOKUP(DP$6,Hoja1!$F$2:$XFD$61,BH46+4,FALSE),0)</f>
        <v/>
      </c>
      <c r="DQ46">
        <f>IFERROR(VLOOKUP(DQ$6,Hoja1!$F$2:$XFD$61,BI46+4,FALSE),0)</f>
        <v/>
      </c>
      <c r="DR46">
        <f>IFERROR(VLOOKUP(DR$6,Hoja1!$F$2:$XFD$61,BJ46+4,FALSE),0)</f>
        <v/>
      </c>
      <c r="DS46">
        <f>IFERROR(VLOOKUP(DS$6,Hoja1!$F$2:$XFD$61,BK46+4,FALSE),0)</f>
        <v/>
      </c>
      <c r="DT46">
        <f>IFERROR(VLOOKUP(DT$6,Hoja1!$F$2:$XFD$61,BL46+4,FALSE),0)</f>
        <v/>
      </c>
      <c r="DU46" s="15">
        <f>IF(COUNT(E46:BL46)=$DV$7,IF(D46="","indique grupo",SUM(BM46:DT46)),"")</f>
        <v/>
      </c>
      <c r="DV46" s="16">
        <f>IF(D46&lt;&gt;"",IF(DU46="","",IF(DU46&gt;=$DU$7*Hoja1!$E$2,4+3/($DU$7*(1-Hoja1!$E$2))*(DU46-$DU$7*Hoja1!$E$2),1+3/($DU$7*Hoja1!$E$2)*DU46)),DU46)</f>
        <v/>
      </c>
      <c r="DW46" s="47" t="b">
        <v>0</v>
      </c>
    </row>
    <row r="47" ht="23.25" customHeight="1">
      <c r="A47" s="17" t="n">
        <v>38</v>
      </c>
      <c r="B47" s="18" t="inlineStr">
        <is>
          <t>VEGA RETAMAL KASSANDRA CATALINA</t>
        </is>
      </c>
      <c r="C47" s="18" t="inlineStr">
        <is>
          <t>219988338</t>
        </is>
      </c>
      <c r="D47" s="1" t="n"/>
      <c r="E47" s="28" t="n"/>
      <c r="F47" s="19" t="n"/>
      <c r="G47" s="19" t="n"/>
      <c r="H47" s="19" t="n"/>
      <c r="I47" s="19" t="n"/>
      <c r="J47" s="19" t="n"/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  <c r="X47" s="19" t="n"/>
      <c r="Y47" s="19" t="n"/>
      <c r="Z47" s="19" t="n"/>
      <c r="AA47" s="19" t="n"/>
      <c r="AB47" s="19" t="n"/>
      <c r="AC47" s="19" t="n"/>
      <c r="AD47" s="19" t="n"/>
      <c r="AE47" s="19" t="n"/>
      <c r="AF47" s="19" t="n"/>
      <c r="AG47" s="19" t="n"/>
      <c r="AH47" s="19" t="n"/>
      <c r="AI47" s="19" t="n"/>
      <c r="AJ47" s="19" t="n"/>
      <c r="AK47" s="19" t="n"/>
      <c r="AL47" s="19" t="n"/>
      <c r="AM47" s="19" t="n"/>
      <c r="AN47" s="19" t="n"/>
      <c r="AO47" s="19" t="n"/>
      <c r="AP47" s="19" t="n"/>
      <c r="AQ47" s="19" t="n"/>
      <c r="AR47" s="19" t="n"/>
      <c r="AS47" s="19" t="n"/>
      <c r="AT47" s="19" t="n"/>
      <c r="AU47" s="19" t="n"/>
      <c r="AV47" s="19" t="n"/>
      <c r="AW47" s="19" t="n"/>
      <c r="AX47" s="19" t="n"/>
      <c r="AY47" s="19" t="n"/>
      <c r="AZ47" s="19" t="n"/>
      <c r="BA47" s="19" t="n"/>
      <c r="BB47" s="19" t="n"/>
      <c r="BC47" s="19" t="n"/>
      <c r="BD47" s="19" t="n"/>
      <c r="BE47" s="19" t="n"/>
      <c r="BF47" s="19" t="n"/>
      <c r="BG47" s="19" t="n"/>
      <c r="BH47" s="19" t="n"/>
      <c r="BI47" s="19" t="n"/>
      <c r="BJ47" s="19" t="n"/>
      <c r="BK47" s="19" t="n"/>
      <c r="BL47" s="29" t="n"/>
      <c r="BM47">
        <f>IFERROR(VLOOKUP(BM$6,Hoja1!$F$2:$XFD$61,E47+4,FALSE),0)</f>
        <v/>
      </c>
      <c r="BN47">
        <f>IFERROR(VLOOKUP(BN$6,Hoja1!$F$2:$XFD$61,F47+4,FALSE),0)</f>
        <v/>
      </c>
      <c r="BO47">
        <f>IFERROR(VLOOKUP(BO$6,Hoja1!$F$2:$XFD$61,G47+4,FALSE),0)</f>
        <v/>
      </c>
      <c r="BP47">
        <f>IFERROR(VLOOKUP(BP$6,Hoja1!$F$2:$XFD$61,H47+4,FALSE),0)</f>
        <v/>
      </c>
      <c r="BQ47">
        <f>IFERROR(VLOOKUP(BQ$6,Hoja1!$F$2:$XFD$61,I47+4,FALSE),0)</f>
        <v/>
      </c>
      <c r="BR47">
        <f>IFERROR(VLOOKUP(BR$6,Hoja1!$F$2:$XFD$61,J47+4,FALSE),0)</f>
        <v/>
      </c>
      <c r="BS47">
        <f>IFERROR(VLOOKUP(BS$6,Hoja1!$F$2:$XFD$61,K47+4,FALSE),0)</f>
        <v/>
      </c>
      <c r="BT47">
        <f>IFERROR(VLOOKUP(BT$6,Hoja1!$F$2:$XFD$61,L47+4,FALSE),0)</f>
        <v/>
      </c>
      <c r="BU47">
        <f>IFERROR(VLOOKUP(BU$6,Hoja1!$F$2:$XFD$61,M47+4,FALSE),0)</f>
        <v/>
      </c>
      <c r="BV47">
        <f>IFERROR(VLOOKUP(BV$6,Hoja1!$F$2:$XFD$61,N47+4,FALSE),0)</f>
        <v/>
      </c>
      <c r="BW47">
        <f>IFERROR(VLOOKUP(BW$6,Hoja1!$F$2:$XFD$61,O47+4,FALSE),0)</f>
        <v/>
      </c>
      <c r="BX47">
        <f>IFERROR(VLOOKUP(BX$6,Hoja1!$F$2:$XFD$61,P47+4,FALSE),0)</f>
        <v/>
      </c>
      <c r="BY47">
        <f>IFERROR(VLOOKUP(BY$6,Hoja1!$F$2:$XFD$61,Q47+4,FALSE),0)</f>
        <v/>
      </c>
      <c r="BZ47">
        <f>IFERROR(VLOOKUP(BZ$6,Hoja1!$F$2:$XFD$61,R47+4,FALSE),0)</f>
        <v/>
      </c>
      <c r="CA47">
        <f>IFERROR(VLOOKUP(CA$6,Hoja1!$F$2:$XFD$61,S47+4,FALSE),0)</f>
        <v/>
      </c>
      <c r="CB47">
        <f>IFERROR(VLOOKUP(CB$6,Hoja1!$F$2:$XFD$61,T47+4,FALSE),0)</f>
        <v/>
      </c>
      <c r="CC47">
        <f>IFERROR(VLOOKUP(CC$6,Hoja1!$F$2:$XFD$61,U47+4,FALSE),0)</f>
        <v/>
      </c>
      <c r="CD47">
        <f>IFERROR(VLOOKUP(CD$6,Hoja1!$F$2:$XFD$61,V47+4,FALSE),0)</f>
        <v/>
      </c>
      <c r="CE47">
        <f>IFERROR(VLOOKUP(CE$6,Hoja1!$F$2:$XFD$61,W47+4,FALSE),0)</f>
        <v/>
      </c>
      <c r="CF47">
        <f>IFERROR(VLOOKUP(CF$6,Hoja1!$F$2:$XFD$61,X47+4,FALSE),0)</f>
        <v/>
      </c>
      <c r="CG47">
        <f>IFERROR(VLOOKUP(CG$6,Hoja1!$F$2:$XFD$61,Y47+4,FALSE),0)</f>
        <v/>
      </c>
      <c r="CH47">
        <f>IFERROR(VLOOKUP(CH$6,Hoja1!$F$2:$XFD$61,Z47+4,FALSE),0)</f>
        <v/>
      </c>
      <c r="CI47">
        <f>IFERROR(VLOOKUP(CI$6,Hoja1!$F$2:$XFD$61,AA47+4,FALSE),0)</f>
        <v/>
      </c>
      <c r="CJ47">
        <f>IFERROR(VLOOKUP(CJ$6,Hoja1!$F$2:$XFD$61,AB47+4,FALSE),0)</f>
        <v/>
      </c>
      <c r="CK47">
        <f>IFERROR(VLOOKUP(CK$6,Hoja1!$F$2:$XFD$61,AC47+4,FALSE),0)</f>
        <v/>
      </c>
      <c r="CL47">
        <f>IFERROR(VLOOKUP(CL$6,Hoja1!$F$2:$XFD$61,AD47+4,FALSE),0)</f>
        <v/>
      </c>
      <c r="CM47">
        <f>IFERROR(VLOOKUP(CM$6,Hoja1!$F$2:$XFD$61,AE47+4,FALSE),0)</f>
        <v/>
      </c>
      <c r="CN47">
        <f>IFERROR(VLOOKUP(CN$6,Hoja1!$F$2:$XFD$61,AF47+4,FALSE),0)</f>
        <v/>
      </c>
      <c r="CO47">
        <f>IFERROR(VLOOKUP(CO$6,Hoja1!$F$2:$XFD$61,AG47+4,FALSE),0)</f>
        <v/>
      </c>
      <c r="CP47">
        <f>IFERROR(VLOOKUP(CP$6,Hoja1!$F$2:$XFD$61,AH47+4,FALSE),0)</f>
        <v/>
      </c>
      <c r="CQ47">
        <f>IFERROR(VLOOKUP(CQ$6,Hoja1!$F$2:$XFD$61,AI47+4,FALSE),0)</f>
        <v/>
      </c>
      <c r="CR47">
        <f>IFERROR(VLOOKUP(CR$6,Hoja1!$F$2:$XFD$61,AJ47+4,FALSE),0)</f>
        <v/>
      </c>
      <c r="CS47">
        <f>IFERROR(VLOOKUP(CS$6,Hoja1!$F$2:$XFD$61,AK47+4,FALSE),0)</f>
        <v/>
      </c>
      <c r="CT47">
        <f>IFERROR(VLOOKUP(CT$6,Hoja1!$F$2:$XFD$61,AL47+4,FALSE),0)</f>
        <v/>
      </c>
      <c r="CU47">
        <f>IFERROR(VLOOKUP(CU$6,Hoja1!$F$2:$XFD$61,AM47+4,FALSE),0)</f>
        <v/>
      </c>
      <c r="CV47">
        <f>IFERROR(VLOOKUP(CV$6,Hoja1!$F$2:$XFD$61,AN47+4,FALSE),0)</f>
        <v/>
      </c>
      <c r="CW47">
        <f>IFERROR(VLOOKUP(CW$6,Hoja1!$F$2:$XFD$61,AO47+4,FALSE),0)</f>
        <v/>
      </c>
      <c r="CX47">
        <f>IFERROR(VLOOKUP(CX$6,Hoja1!$F$2:$XFD$61,AP47+4,FALSE),0)</f>
        <v/>
      </c>
      <c r="CY47">
        <f>IFERROR(VLOOKUP(CY$6,Hoja1!$F$2:$XFD$61,AQ47+4,FALSE),0)</f>
        <v/>
      </c>
      <c r="CZ47">
        <f>IFERROR(VLOOKUP(CZ$6,Hoja1!$F$2:$XFD$61,AR47+4,FALSE),0)</f>
        <v/>
      </c>
      <c r="DA47">
        <f>IFERROR(VLOOKUP(DA$6,Hoja1!$F$2:$XFD$61,AS47+4,FALSE),0)</f>
        <v/>
      </c>
      <c r="DB47">
        <f>IFERROR(VLOOKUP(DB$6,Hoja1!$F$2:$XFD$61,AT47+4,FALSE),0)</f>
        <v/>
      </c>
      <c r="DC47">
        <f>IFERROR(VLOOKUP(DC$6,Hoja1!$F$2:$XFD$61,AU47+4,FALSE),0)</f>
        <v/>
      </c>
      <c r="DD47">
        <f>IFERROR(VLOOKUP(DD$6,Hoja1!$F$2:$XFD$61,AV47+4,FALSE),0)</f>
        <v/>
      </c>
      <c r="DE47">
        <f>IFERROR(VLOOKUP(DE$6,Hoja1!$F$2:$XFD$61,AW47+4,FALSE),0)</f>
        <v/>
      </c>
      <c r="DF47">
        <f>IFERROR(VLOOKUP(DF$6,Hoja1!$F$2:$XFD$61,AX47+4,FALSE),0)</f>
        <v/>
      </c>
      <c r="DG47">
        <f>IFERROR(VLOOKUP(DG$6,Hoja1!$F$2:$XFD$61,AY47+4,FALSE),0)</f>
        <v/>
      </c>
      <c r="DH47">
        <f>IFERROR(VLOOKUP(DH$6,Hoja1!$F$2:$XFD$61,AZ47+4,FALSE),0)</f>
        <v/>
      </c>
      <c r="DI47">
        <f>IFERROR(VLOOKUP(DI$6,Hoja1!$F$2:$XFD$61,BA47+4,FALSE),0)</f>
        <v/>
      </c>
      <c r="DJ47">
        <f>IFERROR(VLOOKUP(DJ$6,Hoja1!$F$2:$XFD$61,BB47+4,FALSE),0)</f>
        <v/>
      </c>
      <c r="DK47">
        <f>IFERROR(VLOOKUP(DK$6,Hoja1!$F$2:$XFD$61,BC47+4,FALSE),0)</f>
        <v/>
      </c>
      <c r="DL47">
        <f>IFERROR(VLOOKUP(DL$6,Hoja1!$F$2:$XFD$61,BD47+4,FALSE),0)</f>
        <v/>
      </c>
      <c r="DM47">
        <f>IFERROR(VLOOKUP(DM$6,Hoja1!$F$2:$XFD$61,BE47+4,FALSE),0)</f>
        <v/>
      </c>
      <c r="DN47">
        <f>IFERROR(VLOOKUP(DN$6,Hoja1!$F$2:$XFD$61,BF47+4,FALSE),0)</f>
        <v/>
      </c>
      <c r="DO47">
        <f>IFERROR(VLOOKUP(DO$6,Hoja1!$F$2:$XFD$61,BG47+4,FALSE),0)</f>
        <v/>
      </c>
      <c r="DP47">
        <f>IFERROR(VLOOKUP(DP$6,Hoja1!$F$2:$XFD$61,BH47+4,FALSE),0)</f>
        <v/>
      </c>
      <c r="DQ47">
        <f>IFERROR(VLOOKUP(DQ$6,Hoja1!$F$2:$XFD$61,BI47+4,FALSE),0)</f>
        <v/>
      </c>
      <c r="DR47">
        <f>IFERROR(VLOOKUP(DR$6,Hoja1!$F$2:$XFD$61,BJ47+4,FALSE),0)</f>
        <v/>
      </c>
      <c r="DS47">
        <f>IFERROR(VLOOKUP(DS$6,Hoja1!$F$2:$XFD$61,BK47+4,FALSE),0)</f>
        <v/>
      </c>
      <c r="DT47">
        <f>IFERROR(VLOOKUP(DT$6,Hoja1!$F$2:$XFD$61,BL47+4,FALSE),0)</f>
        <v/>
      </c>
      <c r="DU47" s="15">
        <f>IF(COUNT(E47:BL47)=$DV$7,IF(D47="","indique grupo",SUM(BM47:DT47)),"")</f>
        <v/>
      </c>
      <c r="DV47" s="16">
        <f>IF(D47&lt;&gt;"",IF(DU47="","",IF(DU47&gt;=$DU$7*Hoja1!$E$2,4+3/($DU$7*(1-Hoja1!$E$2))*(DU47-$DU$7*Hoja1!$E$2),1+3/($DU$7*Hoja1!$E$2)*DU47)),DU47)</f>
        <v/>
      </c>
      <c r="DW47" s="47" t="b">
        <v>0</v>
      </c>
    </row>
    <row r="48" ht="23.25" customHeight="1">
      <c r="A48" s="17" t="n">
        <v>39</v>
      </c>
      <c r="B48" s="18" t="inlineStr">
        <is>
          <t>VERGARA VERDUGO JAVIERA</t>
        </is>
      </c>
      <c r="C48" s="18" t="inlineStr">
        <is>
          <t>210011234</t>
        </is>
      </c>
      <c r="D48" s="1" t="n"/>
      <c r="E48" s="28" t="n"/>
      <c r="F48" s="19" t="n"/>
      <c r="G48" s="19" t="n"/>
      <c r="H48" s="19" t="n"/>
      <c r="I48" s="19" t="n"/>
      <c r="J48" s="19" t="n"/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  <c r="X48" s="19" t="n"/>
      <c r="Y48" s="19" t="n"/>
      <c r="Z48" s="19" t="n"/>
      <c r="AA48" s="19" t="n"/>
      <c r="AB48" s="19" t="n"/>
      <c r="AC48" s="19" t="n"/>
      <c r="AD48" s="19" t="n"/>
      <c r="AE48" s="19" t="n"/>
      <c r="AF48" s="19" t="n"/>
      <c r="AG48" s="19" t="n"/>
      <c r="AH48" s="19" t="n"/>
      <c r="AI48" s="19" t="n"/>
      <c r="AJ48" s="19" t="n"/>
      <c r="AK48" s="19" t="n"/>
      <c r="AL48" s="19" t="n"/>
      <c r="AM48" s="19" t="n"/>
      <c r="AN48" s="19" t="n"/>
      <c r="AO48" s="19" t="n"/>
      <c r="AP48" s="19" t="n"/>
      <c r="AQ48" s="19" t="n"/>
      <c r="AR48" s="19" t="n"/>
      <c r="AS48" s="19" t="n"/>
      <c r="AT48" s="19" t="n"/>
      <c r="AU48" s="19" t="n"/>
      <c r="AV48" s="19" t="n"/>
      <c r="AW48" s="19" t="n"/>
      <c r="AX48" s="19" t="n"/>
      <c r="AY48" s="19" t="n"/>
      <c r="AZ48" s="19" t="n"/>
      <c r="BA48" s="19" t="n"/>
      <c r="BB48" s="19" t="n"/>
      <c r="BC48" s="19" t="n"/>
      <c r="BD48" s="19" t="n"/>
      <c r="BE48" s="19" t="n"/>
      <c r="BF48" s="19" t="n"/>
      <c r="BG48" s="19" t="n"/>
      <c r="BH48" s="19" t="n"/>
      <c r="BI48" s="19" t="n"/>
      <c r="BJ48" s="19" t="n"/>
      <c r="BK48" s="19" t="n"/>
      <c r="BL48" s="29" t="n"/>
      <c r="BM48">
        <f>IFERROR(VLOOKUP(BM$6,Hoja1!$F$2:$XFD$61,E48+4,FALSE),0)</f>
        <v/>
      </c>
      <c r="BN48">
        <f>IFERROR(VLOOKUP(BN$6,Hoja1!$F$2:$XFD$61,F48+4,FALSE),0)</f>
        <v/>
      </c>
      <c r="BO48">
        <f>IFERROR(VLOOKUP(BO$6,Hoja1!$F$2:$XFD$61,G48+4,FALSE),0)</f>
        <v/>
      </c>
      <c r="BP48">
        <f>IFERROR(VLOOKUP(BP$6,Hoja1!$F$2:$XFD$61,H48+4,FALSE),0)</f>
        <v/>
      </c>
      <c r="BQ48">
        <f>IFERROR(VLOOKUP(BQ$6,Hoja1!$F$2:$XFD$61,I48+4,FALSE),0)</f>
        <v/>
      </c>
      <c r="BR48">
        <f>IFERROR(VLOOKUP(BR$6,Hoja1!$F$2:$XFD$61,J48+4,FALSE),0)</f>
        <v/>
      </c>
      <c r="BS48">
        <f>IFERROR(VLOOKUP(BS$6,Hoja1!$F$2:$XFD$61,K48+4,FALSE),0)</f>
        <v/>
      </c>
      <c r="BT48">
        <f>IFERROR(VLOOKUP(BT$6,Hoja1!$F$2:$XFD$61,L48+4,FALSE),0)</f>
        <v/>
      </c>
      <c r="BU48">
        <f>IFERROR(VLOOKUP(BU$6,Hoja1!$F$2:$XFD$61,M48+4,FALSE),0)</f>
        <v/>
      </c>
      <c r="BV48">
        <f>IFERROR(VLOOKUP(BV$6,Hoja1!$F$2:$XFD$61,N48+4,FALSE),0)</f>
        <v/>
      </c>
      <c r="BW48">
        <f>IFERROR(VLOOKUP(BW$6,Hoja1!$F$2:$XFD$61,O48+4,FALSE),0)</f>
        <v/>
      </c>
      <c r="BX48">
        <f>IFERROR(VLOOKUP(BX$6,Hoja1!$F$2:$XFD$61,P48+4,FALSE),0)</f>
        <v/>
      </c>
      <c r="BY48">
        <f>IFERROR(VLOOKUP(BY$6,Hoja1!$F$2:$XFD$61,Q48+4,FALSE),0)</f>
        <v/>
      </c>
      <c r="BZ48">
        <f>IFERROR(VLOOKUP(BZ$6,Hoja1!$F$2:$XFD$61,R48+4,FALSE),0)</f>
        <v/>
      </c>
      <c r="CA48">
        <f>IFERROR(VLOOKUP(CA$6,Hoja1!$F$2:$XFD$61,S48+4,FALSE),0)</f>
        <v/>
      </c>
      <c r="CB48">
        <f>IFERROR(VLOOKUP(CB$6,Hoja1!$F$2:$XFD$61,T48+4,FALSE),0)</f>
        <v/>
      </c>
      <c r="CC48">
        <f>IFERROR(VLOOKUP(CC$6,Hoja1!$F$2:$XFD$61,U48+4,FALSE),0)</f>
        <v/>
      </c>
      <c r="CD48">
        <f>IFERROR(VLOOKUP(CD$6,Hoja1!$F$2:$XFD$61,V48+4,FALSE),0)</f>
        <v/>
      </c>
      <c r="CE48">
        <f>IFERROR(VLOOKUP(CE$6,Hoja1!$F$2:$XFD$61,W48+4,FALSE),0)</f>
        <v/>
      </c>
      <c r="CF48">
        <f>IFERROR(VLOOKUP(CF$6,Hoja1!$F$2:$XFD$61,X48+4,FALSE),0)</f>
        <v/>
      </c>
      <c r="CG48">
        <f>IFERROR(VLOOKUP(CG$6,Hoja1!$F$2:$XFD$61,Y48+4,FALSE),0)</f>
        <v/>
      </c>
      <c r="CH48">
        <f>IFERROR(VLOOKUP(CH$6,Hoja1!$F$2:$XFD$61,Z48+4,FALSE),0)</f>
        <v/>
      </c>
      <c r="CI48">
        <f>IFERROR(VLOOKUP(CI$6,Hoja1!$F$2:$XFD$61,AA48+4,FALSE),0)</f>
        <v/>
      </c>
      <c r="CJ48">
        <f>IFERROR(VLOOKUP(CJ$6,Hoja1!$F$2:$XFD$61,AB48+4,FALSE),0)</f>
        <v/>
      </c>
      <c r="CK48">
        <f>IFERROR(VLOOKUP(CK$6,Hoja1!$F$2:$XFD$61,AC48+4,FALSE),0)</f>
        <v/>
      </c>
      <c r="CL48">
        <f>IFERROR(VLOOKUP(CL$6,Hoja1!$F$2:$XFD$61,AD48+4,FALSE),0)</f>
        <v/>
      </c>
      <c r="CM48">
        <f>IFERROR(VLOOKUP(CM$6,Hoja1!$F$2:$XFD$61,AE48+4,FALSE),0)</f>
        <v/>
      </c>
      <c r="CN48">
        <f>IFERROR(VLOOKUP(CN$6,Hoja1!$F$2:$XFD$61,AF48+4,FALSE),0)</f>
        <v/>
      </c>
      <c r="CO48">
        <f>IFERROR(VLOOKUP(CO$6,Hoja1!$F$2:$XFD$61,AG48+4,FALSE),0)</f>
        <v/>
      </c>
      <c r="CP48">
        <f>IFERROR(VLOOKUP(CP$6,Hoja1!$F$2:$XFD$61,AH48+4,FALSE),0)</f>
        <v/>
      </c>
      <c r="CQ48">
        <f>IFERROR(VLOOKUP(CQ$6,Hoja1!$F$2:$XFD$61,AI48+4,FALSE),0)</f>
        <v/>
      </c>
      <c r="CR48">
        <f>IFERROR(VLOOKUP(CR$6,Hoja1!$F$2:$XFD$61,AJ48+4,FALSE),0)</f>
        <v/>
      </c>
      <c r="CS48">
        <f>IFERROR(VLOOKUP(CS$6,Hoja1!$F$2:$XFD$61,AK48+4,FALSE),0)</f>
        <v/>
      </c>
      <c r="CT48">
        <f>IFERROR(VLOOKUP(CT$6,Hoja1!$F$2:$XFD$61,AL48+4,FALSE),0)</f>
        <v/>
      </c>
      <c r="CU48">
        <f>IFERROR(VLOOKUP(CU$6,Hoja1!$F$2:$XFD$61,AM48+4,FALSE),0)</f>
        <v/>
      </c>
      <c r="CV48">
        <f>IFERROR(VLOOKUP(CV$6,Hoja1!$F$2:$XFD$61,AN48+4,FALSE),0)</f>
        <v/>
      </c>
      <c r="CW48">
        <f>IFERROR(VLOOKUP(CW$6,Hoja1!$F$2:$XFD$61,AO48+4,FALSE),0)</f>
        <v/>
      </c>
      <c r="CX48">
        <f>IFERROR(VLOOKUP(CX$6,Hoja1!$F$2:$XFD$61,AP48+4,FALSE),0)</f>
        <v/>
      </c>
      <c r="CY48">
        <f>IFERROR(VLOOKUP(CY$6,Hoja1!$F$2:$XFD$61,AQ48+4,FALSE),0)</f>
        <v/>
      </c>
      <c r="CZ48">
        <f>IFERROR(VLOOKUP(CZ$6,Hoja1!$F$2:$XFD$61,AR48+4,FALSE),0)</f>
        <v/>
      </c>
      <c r="DA48">
        <f>IFERROR(VLOOKUP(DA$6,Hoja1!$F$2:$XFD$61,AS48+4,FALSE),0)</f>
        <v/>
      </c>
      <c r="DB48">
        <f>IFERROR(VLOOKUP(DB$6,Hoja1!$F$2:$XFD$61,AT48+4,FALSE),0)</f>
        <v/>
      </c>
      <c r="DC48">
        <f>IFERROR(VLOOKUP(DC$6,Hoja1!$F$2:$XFD$61,AU48+4,FALSE),0)</f>
        <v/>
      </c>
      <c r="DD48">
        <f>IFERROR(VLOOKUP(DD$6,Hoja1!$F$2:$XFD$61,AV48+4,FALSE),0)</f>
        <v/>
      </c>
      <c r="DE48">
        <f>IFERROR(VLOOKUP(DE$6,Hoja1!$F$2:$XFD$61,AW48+4,FALSE),0)</f>
        <v/>
      </c>
      <c r="DF48">
        <f>IFERROR(VLOOKUP(DF$6,Hoja1!$F$2:$XFD$61,AX48+4,FALSE),0)</f>
        <v/>
      </c>
      <c r="DG48">
        <f>IFERROR(VLOOKUP(DG$6,Hoja1!$F$2:$XFD$61,AY48+4,FALSE),0)</f>
        <v/>
      </c>
      <c r="DH48">
        <f>IFERROR(VLOOKUP(DH$6,Hoja1!$F$2:$XFD$61,AZ48+4,FALSE),0)</f>
        <v/>
      </c>
      <c r="DI48">
        <f>IFERROR(VLOOKUP(DI$6,Hoja1!$F$2:$XFD$61,BA48+4,FALSE),0)</f>
        <v/>
      </c>
      <c r="DJ48">
        <f>IFERROR(VLOOKUP(DJ$6,Hoja1!$F$2:$XFD$61,BB48+4,FALSE),0)</f>
        <v/>
      </c>
      <c r="DK48">
        <f>IFERROR(VLOOKUP(DK$6,Hoja1!$F$2:$XFD$61,BC48+4,FALSE),0)</f>
        <v/>
      </c>
      <c r="DL48">
        <f>IFERROR(VLOOKUP(DL$6,Hoja1!$F$2:$XFD$61,BD48+4,FALSE),0)</f>
        <v/>
      </c>
      <c r="DM48">
        <f>IFERROR(VLOOKUP(DM$6,Hoja1!$F$2:$XFD$61,BE48+4,FALSE),0)</f>
        <v/>
      </c>
      <c r="DN48">
        <f>IFERROR(VLOOKUP(DN$6,Hoja1!$F$2:$XFD$61,BF48+4,FALSE),0)</f>
        <v/>
      </c>
      <c r="DO48">
        <f>IFERROR(VLOOKUP(DO$6,Hoja1!$F$2:$XFD$61,BG48+4,FALSE),0)</f>
        <v/>
      </c>
      <c r="DP48">
        <f>IFERROR(VLOOKUP(DP$6,Hoja1!$F$2:$XFD$61,BH48+4,FALSE),0)</f>
        <v/>
      </c>
      <c r="DQ48">
        <f>IFERROR(VLOOKUP(DQ$6,Hoja1!$F$2:$XFD$61,BI48+4,FALSE),0)</f>
        <v/>
      </c>
      <c r="DR48">
        <f>IFERROR(VLOOKUP(DR$6,Hoja1!$F$2:$XFD$61,BJ48+4,FALSE),0)</f>
        <v/>
      </c>
      <c r="DS48">
        <f>IFERROR(VLOOKUP(DS$6,Hoja1!$F$2:$XFD$61,BK48+4,FALSE),0)</f>
        <v/>
      </c>
      <c r="DT48">
        <f>IFERROR(VLOOKUP(DT$6,Hoja1!$F$2:$XFD$61,BL48+4,FALSE),0)</f>
        <v/>
      </c>
      <c r="DU48" s="15">
        <f>IF(COUNT(E48:BL48)=$DV$7,IF(D48="","indique grupo",SUM(BM48:DT48)),"")</f>
        <v/>
      </c>
      <c r="DV48" s="16">
        <f>IF(D48&lt;&gt;"",IF(DU48="","",IF(DU48&gt;=$DU$7*Hoja1!$E$2,4+3/($DU$7*(1-Hoja1!$E$2))*(DU48-$DU$7*Hoja1!$E$2),1+3/($DU$7*Hoja1!$E$2)*DU48)),DU48)</f>
        <v/>
      </c>
      <c r="DW48" s="47" t="b">
        <v>0</v>
      </c>
    </row>
    <row r="49" ht="23.25" customHeight="1">
      <c r="A49" s="17" t="n">
        <v>40</v>
      </c>
      <c r="B49" s="18" t="inlineStr">
        <is>
          <t>YAÑEZ ECHEVERRIA NICOL ANTONIA</t>
        </is>
      </c>
      <c r="C49" s="18" t="inlineStr">
        <is>
          <t>207744123</t>
        </is>
      </c>
      <c r="D49" s="1" t="n"/>
      <c r="E49" s="28" t="n"/>
      <c r="F49" s="19" t="n"/>
      <c r="G49" s="19" t="n"/>
      <c r="H49" s="19" t="n"/>
      <c r="I49" s="19" t="n"/>
      <c r="J49" s="19" t="n"/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  <c r="X49" s="19" t="n"/>
      <c r="Y49" s="19" t="n"/>
      <c r="Z49" s="19" t="n"/>
      <c r="AA49" s="19" t="n"/>
      <c r="AB49" s="19" t="n"/>
      <c r="AC49" s="19" t="n"/>
      <c r="AD49" s="19" t="n"/>
      <c r="AE49" s="19" t="n"/>
      <c r="AF49" s="19" t="n"/>
      <c r="AG49" s="19" t="n"/>
      <c r="AH49" s="19" t="n"/>
      <c r="AI49" s="19" t="n"/>
      <c r="AJ49" s="19" t="n"/>
      <c r="AK49" s="19" t="n"/>
      <c r="AL49" s="19" t="n"/>
      <c r="AM49" s="19" t="n"/>
      <c r="AN49" s="19" t="n"/>
      <c r="AO49" s="19" t="n"/>
      <c r="AP49" s="19" t="n"/>
      <c r="AQ49" s="19" t="n"/>
      <c r="AR49" s="19" t="n"/>
      <c r="AS49" s="19" t="n"/>
      <c r="AT49" s="19" t="n"/>
      <c r="AU49" s="19" t="n"/>
      <c r="AV49" s="19" t="n"/>
      <c r="AW49" s="19" t="n"/>
      <c r="AX49" s="19" t="n"/>
      <c r="AY49" s="19" t="n"/>
      <c r="AZ49" s="19" t="n"/>
      <c r="BA49" s="19" t="n"/>
      <c r="BB49" s="19" t="n"/>
      <c r="BC49" s="19" t="n"/>
      <c r="BD49" s="19" t="n"/>
      <c r="BE49" s="19" t="n"/>
      <c r="BF49" s="19" t="n"/>
      <c r="BG49" s="19" t="n"/>
      <c r="BH49" s="19" t="n"/>
      <c r="BI49" s="19" t="n"/>
      <c r="BJ49" s="19" t="n"/>
      <c r="BK49" s="19" t="n"/>
      <c r="BL49" s="29" t="n"/>
      <c r="BM49">
        <f>IFERROR(VLOOKUP(BM$6,Hoja1!$F$2:$XFD$61,E49+4,FALSE),0)</f>
        <v/>
      </c>
      <c r="BN49">
        <f>IFERROR(VLOOKUP(BN$6,Hoja1!$F$2:$XFD$61,F49+4,FALSE),0)</f>
        <v/>
      </c>
      <c r="BO49">
        <f>IFERROR(VLOOKUP(BO$6,Hoja1!$F$2:$XFD$61,G49+4,FALSE),0)</f>
        <v/>
      </c>
      <c r="BP49">
        <f>IFERROR(VLOOKUP(BP$6,Hoja1!$F$2:$XFD$61,H49+4,FALSE),0)</f>
        <v/>
      </c>
      <c r="BQ49">
        <f>IFERROR(VLOOKUP(BQ$6,Hoja1!$F$2:$XFD$61,I49+4,FALSE),0)</f>
        <v/>
      </c>
      <c r="BR49">
        <f>IFERROR(VLOOKUP(BR$6,Hoja1!$F$2:$XFD$61,J49+4,FALSE),0)</f>
        <v/>
      </c>
      <c r="BS49">
        <f>IFERROR(VLOOKUP(BS$6,Hoja1!$F$2:$XFD$61,K49+4,FALSE),0)</f>
        <v/>
      </c>
      <c r="BT49">
        <f>IFERROR(VLOOKUP(BT$6,Hoja1!$F$2:$XFD$61,L49+4,FALSE),0)</f>
        <v/>
      </c>
      <c r="BU49">
        <f>IFERROR(VLOOKUP(BU$6,Hoja1!$F$2:$XFD$61,M49+4,FALSE),0)</f>
        <v/>
      </c>
      <c r="BV49">
        <f>IFERROR(VLOOKUP(BV$6,Hoja1!$F$2:$XFD$61,N49+4,FALSE),0)</f>
        <v/>
      </c>
      <c r="BW49">
        <f>IFERROR(VLOOKUP(BW$6,Hoja1!$F$2:$XFD$61,O49+4,FALSE),0)</f>
        <v/>
      </c>
      <c r="BX49">
        <f>IFERROR(VLOOKUP(BX$6,Hoja1!$F$2:$XFD$61,P49+4,FALSE),0)</f>
        <v/>
      </c>
      <c r="BY49">
        <f>IFERROR(VLOOKUP(BY$6,Hoja1!$F$2:$XFD$61,Q49+4,FALSE),0)</f>
        <v/>
      </c>
      <c r="BZ49">
        <f>IFERROR(VLOOKUP(BZ$6,Hoja1!$F$2:$XFD$61,R49+4,FALSE),0)</f>
        <v/>
      </c>
      <c r="CA49">
        <f>IFERROR(VLOOKUP(CA$6,Hoja1!$F$2:$XFD$61,S49+4,FALSE),0)</f>
        <v/>
      </c>
      <c r="CB49">
        <f>IFERROR(VLOOKUP(CB$6,Hoja1!$F$2:$XFD$61,T49+4,FALSE),0)</f>
        <v/>
      </c>
      <c r="CC49">
        <f>IFERROR(VLOOKUP(CC$6,Hoja1!$F$2:$XFD$61,U49+4,FALSE),0)</f>
        <v/>
      </c>
      <c r="CD49">
        <f>IFERROR(VLOOKUP(CD$6,Hoja1!$F$2:$XFD$61,V49+4,FALSE),0)</f>
        <v/>
      </c>
      <c r="CE49">
        <f>IFERROR(VLOOKUP(CE$6,Hoja1!$F$2:$XFD$61,W49+4,FALSE),0)</f>
        <v/>
      </c>
      <c r="CF49">
        <f>IFERROR(VLOOKUP(CF$6,Hoja1!$F$2:$XFD$61,X49+4,FALSE),0)</f>
        <v/>
      </c>
      <c r="CG49">
        <f>IFERROR(VLOOKUP(CG$6,Hoja1!$F$2:$XFD$61,Y49+4,FALSE),0)</f>
        <v/>
      </c>
      <c r="CH49">
        <f>IFERROR(VLOOKUP(CH$6,Hoja1!$F$2:$XFD$61,Z49+4,FALSE),0)</f>
        <v/>
      </c>
      <c r="CI49">
        <f>IFERROR(VLOOKUP(CI$6,Hoja1!$F$2:$XFD$61,AA49+4,FALSE),0)</f>
        <v/>
      </c>
      <c r="CJ49">
        <f>IFERROR(VLOOKUP(CJ$6,Hoja1!$F$2:$XFD$61,AB49+4,FALSE),0)</f>
        <v/>
      </c>
      <c r="CK49">
        <f>IFERROR(VLOOKUP(CK$6,Hoja1!$F$2:$XFD$61,AC49+4,FALSE),0)</f>
        <v/>
      </c>
      <c r="CL49">
        <f>IFERROR(VLOOKUP(CL$6,Hoja1!$F$2:$XFD$61,AD49+4,FALSE),0)</f>
        <v/>
      </c>
      <c r="CM49">
        <f>IFERROR(VLOOKUP(CM$6,Hoja1!$F$2:$XFD$61,AE49+4,FALSE),0)</f>
        <v/>
      </c>
      <c r="CN49">
        <f>IFERROR(VLOOKUP(CN$6,Hoja1!$F$2:$XFD$61,AF49+4,FALSE),0)</f>
        <v/>
      </c>
      <c r="CO49">
        <f>IFERROR(VLOOKUP(CO$6,Hoja1!$F$2:$XFD$61,AG49+4,FALSE),0)</f>
        <v/>
      </c>
      <c r="CP49">
        <f>IFERROR(VLOOKUP(CP$6,Hoja1!$F$2:$XFD$61,AH49+4,FALSE),0)</f>
        <v/>
      </c>
      <c r="CQ49">
        <f>IFERROR(VLOOKUP(CQ$6,Hoja1!$F$2:$XFD$61,AI49+4,FALSE),0)</f>
        <v/>
      </c>
      <c r="CR49">
        <f>IFERROR(VLOOKUP(CR$6,Hoja1!$F$2:$XFD$61,AJ49+4,FALSE),0)</f>
        <v/>
      </c>
      <c r="CS49">
        <f>IFERROR(VLOOKUP(CS$6,Hoja1!$F$2:$XFD$61,AK49+4,FALSE),0)</f>
        <v/>
      </c>
      <c r="CT49">
        <f>IFERROR(VLOOKUP(CT$6,Hoja1!$F$2:$XFD$61,AL49+4,FALSE),0)</f>
        <v/>
      </c>
      <c r="CU49">
        <f>IFERROR(VLOOKUP(CU$6,Hoja1!$F$2:$XFD$61,AM49+4,FALSE),0)</f>
        <v/>
      </c>
      <c r="CV49">
        <f>IFERROR(VLOOKUP(CV$6,Hoja1!$F$2:$XFD$61,AN49+4,FALSE),0)</f>
        <v/>
      </c>
      <c r="CW49">
        <f>IFERROR(VLOOKUP(CW$6,Hoja1!$F$2:$XFD$61,AO49+4,FALSE),0)</f>
        <v/>
      </c>
      <c r="CX49">
        <f>IFERROR(VLOOKUP(CX$6,Hoja1!$F$2:$XFD$61,AP49+4,FALSE),0)</f>
        <v/>
      </c>
      <c r="CY49">
        <f>IFERROR(VLOOKUP(CY$6,Hoja1!$F$2:$XFD$61,AQ49+4,FALSE),0)</f>
        <v/>
      </c>
      <c r="CZ49">
        <f>IFERROR(VLOOKUP(CZ$6,Hoja1!$F$2:$XFD$61,AR49+4,FALSE),0)</f>
        <v/>
      </c>
      <c r="DA49">
        <f>IFERROR(VLOOKUP(DA$6,Hoja1!$F$2:$XFD$61,AS49+4,FALSE),0)</f>
        <v/>
      </c>
      <c r="DB49">
        <f>IFERROR(VLOOKUP(DB$6,Hoja1!$F$2:$XFD$61,AT49+4,FALSE),0)</f>
        <v/>
      </c>
      <c r="DC49">
        <f>IFERROR(VLOOKUP(DC$6,Hoja1!$F$2:$XFD$61,AU49+4,FALSE),0)</f>
        <v/>
      </c>
      <c r="DD49">
        <f>IFERROR(VLOOKUP(DD$6,Hoja1!$F$2:$XFD$61,AV49+4,FALSE),0)</f>
        <v/>
      </c>
      <c r="DE49">
        <f>IFERROR(VLOOKUP(DE$6,Hoja1!$F$2:$XFD$61,AW49+4,FALSE),0)</f>
        <v/>
      </c>
      <c r="DF49">
        <f>IFERROR(VLOOKUP(DF$6,Hoja1!$F$2:$XFD$61,AX49+4,FALSE),0)</f>
        <v/>
      </c>
      <c r="DG49">
        <f>IFERROR(VLOOKUP(DG$6,Hoja1!$F$2:$XFD$61,AY49+4,FALSE),0)</f>
        <v/>
      </c>
      <c r="DH49">
        <f>IFERROR(VLOOKUP(DH$6,Hoja1!$F$2:$XFD$61,AZ49+4,FALSE),0)</f>
        <v/>
      </c>
      <c r="DI49">
        <f>IFERROR(VLOOKUP(DI$6,Hoja1!$F$2:$XFD$61,BA49+4,FALSE),0)</f>
        <v/>
      </c>
      <c r="DJ49">
        <f>IFERROR(VLOOKUP(DJ$6,Hoja1!$F$2:$XFD$61,BB49+4,FALSE),0)</f>
        <v/>
      </c>
      <c r="DK49">
        <f>IFERROR(VLOOKUP(DK$6,Hoja1!$F$2:$XFD$61,BC49+4,FALSE),0)</f>
        <v/>
      </c>
      <c r="DL49">
        <f>IFERROR(VLOOKUP(DL$6,Hoja1!$F$2:$XFD$61,BD49+4,FALSE),0)</f>
        <v/>
      </c>
      <c r="DM49">
        <f>IFERROR(VLOOKUP(DM$6,Hoja1!$F$2:$XFD$61,BE49+4,FALSE),0)</f>
        <v/>
      </c>
      <c r="DN49">
        <f>IFERROR(VLOOKUP(DN$6,Hoja1!$F$2:$XFD$61,BF49+4,FALSE),0)</f>
        <v/>
      </c>
      <c r="DO49">
        <f>IFERROR(VLOOKUP(DO$6,Hoja1!$F$2:$XFD$61,BG49+4,FALSE),0)</f>
        <v/>
      </c>
      <c r="DP49">
        <f>IFERROR(VLOOKUP(DP$6,Hoja1!$F$2:$XFD$61,BH49+4,FALSE),0)</f>
        <v/>
      </c>
      <c r="DQ49">
        <f>IFERROR(VLOOKUP(DQ$6,Hoja1!$F$2:$XFD$61,BI49+4,FALSE),0)</f>
        <v/>
      </c>
      <c r="DR49">
        <f>IFERROR(VLOOKUP(DR$6,Hoja1!$F$2:$XFD$61,BJ49+4,FALSE),0)</f>
        <v/>
      </c>
      <c r="DS49">
        <f>IFERROR(VLOOKUP(DS$6,Hoja1!$F$2:$XFD$61,BK49+4,FALSE),0)</f>
        <v/>
      </c>
      <c r="DT49">
        <f>IFERROR(VLOOKUP(DT$6,Hoja1!$F$2:$XFD$61,BL49+4,FALSE),0)</f>
        <v/>
      </c>
      <c r="DU49" s="15">
        <f>IF(COUNT(E49:BL49)=$DV$7,IF(D49="","indique grupo",SUM(BM49:DT49)),"")</f>
        <v/>
      </c>
      <c r="DV49" s="16">
        <f>IF(D49&lt;&gt;"",IF(DU49="","",IF(DU49&gt;=$DU$7*Hoja1!$E$2,4+3/($DU$7*(1-Hoja1!$E$2))*(DU49-$DU$7*Hoja1!$E$2),1+3/($DU$7*Hoja1!$E$2)*DU49)),DU49)</f>
        <v/>
      </c>
      <c r="DW49" s="47" t="b">
        <v>0</v>
      </c>
    </row>
    <row r="50" ht="23.25" customHeight="1">
      <c r="A50" s="17" t="n">
        <v>41</v>
      </c>
      <c r="B50" s="18" t="inlineStr">
        <is>
          <t>ZAMBRANO IBACACHE NATALIA</t>
        </is>
      </c>
      <c r="C50" s="18" t="inlineStr">
        <is>
          <t>217776554</t>
        </is>
      </c>
      <c r="D50" s="1" t="n"/>
      <c r="E50" s="28" t="n"/>
      <c r="F50" s="19" t="n"/>
      <c r="G50" s="19" t="n"/>
      <c r="H50" s="19" t="n"/>
      <c r="I50" s="19" t="n"/>
      <c r="J50" s="19" t="n"/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  <c r="X50" s="19" t="n"/>
      <c r="Y50" s="19" t="n"/>
      <c r="Z50" s="19" t="n"/>
      <c r="AA50" s="19" t="n"/>
      <c r="AB50" s="19" t="n"/>
      <c r="AC50" s="19" t="n"/>
      <c r="AD50" s="19" t="n"/>
      <c r="AE50" s="19" t="n"/>
      <c r="AF50" s="19" t="n"/>
      <c r="AG50" s="19" t="n"/>
      <c r="AH50" s="19" t="n"/>
      <c r="AI50" s="19" t="n"/>
      <c r="AJ50" s="19" t="n"/>
      <c r="AK50" s="19" t="n"/>
      <c r="AL50" s="19" t="n"/>
      <c r="AM50" s="19" t="n"/>
      <c r="AN50" s="19" t="n"/>
      <c r="AO50" s="19" t="n"/>
      <c r="AP50" s="19" t="n"/>
      <c r="AQ50" s="19" t="n"/>
      <c r="AR50" s="19" t="n"/>
      <c r="AS50" s="19" t="n"/>
      <c r="AT50" s="19" t="n"/>
      <c r="AU50" s="19" t="n"/>
      <c r="AV50" s="19" t="n"/>
      <c r="AW50" s="19" t="n"/>
      <c r="AX50" s="19" t="n"/>
      <c r="AY50" s="19" t="n"/>
      <c r="AZ50" s="19" t="n"/>
      <c r="BA50" s="19" t="n"/>
      <c r="BB50" s="19" t="n"/>
      <c r="BC50" s="19" t="n"/>
      <c r="BD50" s="19" t="n"/>
      <c r="BE50" s="19" t="n"/>
      <c r="BF50" s="19" t="n"/>
      <c r="BG50" s="19" t="n"/>
      <c r="BH50" s="19" t="n"/>
      <c r="BI50" s="19" t="n"/>
      <c r="BJ50" s="19" t="n"/>
      <c r="BK50" s="19" t="n"/>
      <c r="BL50" s="29" t="n"/>
      <c r="BM50">
        <f>IFERROR(VLOOKUP(BM$6,Hoja1!$F$2:$XFD$61,E50+4,FALSE),0)</f>
        <v/>
      </c>
      <c r="BN50">
        <f>IFERROR(VLOOKUP(BN$6,Hoja1!$F$2:$XFD$61,F50+4,FALSE),0)</f>
        <v/>
      </c>
      <c r="BO50">
        <f>IFERROR(VLOOKUP(BO$6,Hoja1!$F$2:$XFD$61,G50+4,FALSE),0)</f>
        <v/>
      </c>
      <c r="BP50">
        <f>IFERROR(VLOOKUP(BP$6,Hoja1!$F$2:$XFD$61,H50+4,FALSE),0)</f>
        <v/>
      </c>
      <c r="BQ50">
        <f>IFERROR(VLOOKUP(BQ$6,Hoja1!$F$2:$XFD$61,I50+4,FALSE),0)</f>
        <v/>
      </c>
      <c r="BR50">
        <f>IFERROR(VLOOKUP(BR$6,Hoja1!$F$2:$XFD$61,J50+4,FALSE),0)</f>
        <v/>
      </c>
      <c r="BS50">
        <f>IFERROR(VLOOKUP(BS$6,Hoja1!$F$2:$XFD$61,K50+4,FALSE),0)</f>
        <v/>
      </c>
      <c r="BT50">
        <f>IFERROR(VLOOKUP(BT$6,Hoja1!$F$2:$XFD$61,L50+4,FALSE),0)</f>
        <v/>
      </c>
      <c r="BU50">
        <f>IFERROR(VLOOKUP(BU$6,Hoja1!$F$2:$XFD$61,M50+4,FALSE),0)</f>
        <v/>
      </c>
      <c r="BV50">
        <f>IFERROR(VLOOKUP(BV$6,Hoja1!$F$2:$XFD$61,N50+4,FALSE),0)</f>
        <v/>
      </c>
      <c r="BW50">
        <f>IFERROR(VLOOKUP(BW$6,Hoja1!$F$2:$XFD$61,O50+4,FALSE),0)</f>
        <v/>
      </c>
      <c r="BX50">
        <f>IFERROR(VLOOKUP(BX$6,Hoja1!$F$2:$XFD$61,P50+4,FALSE),0)</f>
        <v/>
      </c>
      <c r="BY50">
        <f>IFERROR(VLOOKUP(BY$6,Hoja1!$F$2:$XFD$61,Q50+4,FALSE),0)</f>
        <v/>
      </c>
      <c r="BZ50">
        <f>IFERROR(VLOOKUP(BZ$6,Hoja1!$F$2:$XFD$61,R50+4,FALSE),0)</f>
        <v/>
      </c>
      <c r="CA50">
        <f>IFERROR(VLOOKUP(CA$6,Hoja1!$F$2:$XFD$61,S50+4,FALSE),0)</f>
        <v/>
      </c>
      <c r="CB50">
        <f>IFERROR(VLOOKUP(CB$6,Hoja1!$F$2:$XFD$61,T50+4,FALSE),0)</f>
        <v/>
      </c>
      <c r="CC50">
        <f>IFERROR(VLOOKUP(CC$6,Hoja1!$F$2:$XFD$61,U50+4,FALSE),0)</f>
        <v/>
      </c>
      <c r="CD50">
        <f>IFERROR(VLOOKUP(CD$6,Hoja1!$F$2:$XFD$61,V50+4,FALSE),0)</f>
        <v/>
      </c>
      <c r="CE50">
        <f>IFERROR(VLOOKUP(CE$6,Hoja1!$F$2:$XFD$61,W50+4,FALSE),0)</f>
        <v/>
      </c>
      <c r="CF50">
        <f>IFERROR(VLOOKUP(CF$6,Hoja1!$F$2:$XFD$61,X50+4,FALSE),0)</f>
        <v/>
      </c>
      <c r="CG50">
        <f>IFERROR(VLOOKUP(CG$6,Hoja1!$F$2:$XFD$61,Y50+4,FALSE),0)</f>
        <v/>
      </c>
      <c r="CH50">
        <f>IFERROR(VLOOKUP(CH$6,Hoja1!$F$2:$XFD$61,Z50+4,FALSE),0)</f>
        <v/>
      </c>
      <c r="CI50">
        <f>IFERROR(VLOOKUP(CI$6,Hoja1!$F$2:$XFD$61,AA50+4,FALSE),0)</f>
        <v/>
      </c>
      <c r="CJ50">
        <f>IFERROR(VLOOKUP(CJ$6,Hoja1!$F$2:$XFD$61,AB50+4,FALSE),0)</f>
        <v/>
      </c>
      <c r="CK50">
        <f>IFERROR(VLOOKUP(CK$6,Hoja1!$F$2:$XFD$61,AC50+4,FALSE),0)</f>
        <v/>
      </c>
      <c r="CL50">
        <f>IFERROR(VLOOKUP(CL$6,Hoja1!$F$2:$XFD$61,AD50+4,FALSE),0)</f>
        <v/>
      </c>
      <c r="CM50">
        <f>IFERROR(VLOOKUP(CM$6,Hoja1!$F$2:$XFD$61,AE50+4,FALSE),0)</f>
        <v/>
      </c>
      <c r="CN50">
        <f>IFERROR(VLOOKUP(CN$6,Hoja1!$F$2:$XFD$61,AF50+4,FALSE),0)</f>
        <v/>
      </c>
      <c r="CO50">
        <f>IFERROR(VLOOKUP(CO$6,Hoja1!$F$2:$XFD$61,AG50+4,FALSE),0)</f>
        <v/>
      </c>
      <c r="CP50">
        <f>IFERROR(VLOOKUP(CP$6,Hoja1!$F$2:$XFD$61,AH50+4,FALSE),0)</f>
        <v/>
      </c>
      <c r="CQ50">
        <f>IFERROR(VLOOKUP(CQ$6,Hoja1!$F$2:$XFD$61,AI50+4,FALSE),0)</f>
        <v/>
      </c>
      <c r="CR50">
        <f>IFERROR(VLOOKUP(CR$6,Hoja1!$F$2:$XFD$61,AJ50+4,FALSE),0)</f>
        <v/>
      </c>
      <c r="CS50">
        <f>IFERROR(VLOOKUP(CS$6,Hoja1!$F$2:$XFD$61,AK50+4,FALSE),0)</f>
        <v/>
      </c>
      <c r="CT50">
        <f>IFERROR(VLOOKUP(CT$6,Hoja1!$F$2:$XFD$61,AL50+4,FALSE),0)</f>
        <v/>
      </c>
      <c r="CU50">
        <f>IFERROR(VLOOKUP(CU$6,Hoja1!$F$2:$XFD$61,AM50+4,FALSE),0)</f>
        <v/>
      </c>
      <c r="CV50">
        <f>IFERROR(VLOOKUP(CV$6,Hoja1!$F$2:$XFD$61,AN50+4,FALSE),0)</f>
        <v/>
      </c>
      <c r="CW50">
        <f>IFERROR(VLOOKUP(CW$6,Hoja1!$F$2:$XFD$61,AO50+4,FALSE),0)</f>
        <v/>
      </c>
      <c r="CX50">
        <f>IFERROR(VLOOKUP(CX$6,Hoja1!$F$2:$XFD$61,AP50+4,FALSE),0)</f>
        <v/>
      </c>
      <c r="CY50">
        <f>IFERROR(VLOOKUP(CY$6,Hoja1!$F$2:$XFD$61,AQ50+4,FALSE),0)</f>
        <v/>
      </c>
      <c r="CZ50">
        <f>IFERROR(VLOOKUP(CZ$6,Hoja1!$F$2:$XFD$61,AR50+4,FALSE),0)</f>
        <v/>
      </c>
      <c r="DA50">
        <f>IFERROR(VLOOKUP(DA$6,Hoja1!$F$2:$XFD$61,AS50+4,FALSE),0)</f>
        <v/>
      </c>
      <c r="DB50">
        <f>IFERROR(VLOOKUP(DB$6,Hoja1!$F$2:$XFD$61,AT50+4,FALSE),0)</f>
        <v/>
      </c>
      <c r="DC50">
        <f>IFERROR(VLOOKUP(DC$6,Hoja1!$F$2:$XFD$61,AU50+4,FALSE),0)</f>
        <v/>
      </c>
      <c r="DD50">
        <f>IFERROR(VLOOKUP(DD$6,Hoja1!$F$2:$XFD$61,AV50+4,FALSE),0)</f>
        <v/>
      </c>
      <c r="DE50">
        <f>IFERROR(VLOOKUP(DE$6,Hoja1!$F$2:$XFD$61,AW50+4,FALSE),0)</f>
        <v/>
      </c>
      <c r="DF50">
        <f>IFERROR(VLOOKUP(DF$6,Hoja1!$F$2:$XFD$61,AX50+4,FALSE),0)</f>
        <v/>
      </c>
      <c r="DG50">
        <f>IFERROR(VLOOKUP(DG$6,Hoja1!$F$2:$XFD$61,AY50+4,FALSE),0)</f>
        <v/>
      </c>
      <c r="DH50">
        <f>IFERROR(VLOOKUP(DH$6,Hoja1!$F$2:$XFD$61,AZ50+4,FALSE),0)</f>
        <v/>
      </c>
      <c r="DI50">
        <f>IFERROR(VLOOKUP(DI$6,Hoja1!$F$2:$XFD$61,BA50+4,FALSE),0)</f>
        <v/>
      </c>
      <c r="DJ50">
        <f>IFERROR(VLOOKUP(DJ$6,Hoja1!$F$2:$XFD$61,BB50+4,FALSE),0)</f>
        <v/>
      </c>
      <c r="DK50">
        <f>IFERROR(VLOOKUP(DK$6,Hoja1!$F$2:$XFD$61,BC50+4,FALSE),0)</f>
        <v/>
      </c>
      <c r="DL50">
        <f>IFERROR(VLOOKUP(DL$6,Hoja1!$F$2:$XFD$61,BD50+4,FALSE),0)</f>
        <v/>
      </c>
      <c r="DM50">
        <f>IFERROR(VLOOKUP(DM$6,Hoja1!$F$2:$XFD$61,BE50+4,FALSE),0)</f>
        <v/>
      </c>
      <c r="DN50">
        <f>IFERROR(VLOOKUP(DN$6,Hoja1!$F$2:$XFD$61,BF50+4,FALSE),0)</f>
        <v/>
      </c>
      <c r="DO50">
        <f>IFERROR(VLOOKUP(DO$6,Hoja1!$F$2:$XFD$61,BG50+4,FALSE),0)</f>
        <v/>
      </c>
      <c r="DP50">
        <f>IFERROR(VLOOKUP(DP$6,Hoja1!$F$2:$XFD$61,BH50+4,FALSE),0)</f>
        <v/>
      </c>
      <c r="DQ50">
        <f>IFERROR(VLOOKUP(DQ$6,Hoja1!$F$2:$XFD$61,BI50+4,FALSE),0)</f>
        <v/>
      </c>
      <c r="DR50">
        <f>IFERROR(VLOOKUP(DR$6,Hoja1!$F$2:$XFD$61,BJ50+4,FALSE),0)</f>
        <v/>
      </c>
      <c r="DS50">
        <f>IFERROR(VLOOKUP(DS$6,Hoja1!$F$2:$XFD$61,BK50+4,FALSE),0)</f>
        <v/>
      </c>
      <c r="DT50">
        <f>IFERROR(VLOOKUP(DT$6,Hoja1!$F$2:$XFD$61,BL50+4,FALSE),0)</f>
        <v/>
      </c>
      <c r="DU50" s="15">
        <f>IF(COUNT(E50:BL50)=$DV$7,IF(D50="","indique grupo",SUM(BM50:DT50)),"")</f>
        <v/>
      </c>
      <c r="DV50" s="16">
        <f>IF(D50&lt;&gt;"",IF(DU50="","",IF(DU50&gt;=$DU$7*Hoja1!$E$2,4+3/($DU$7*(1-Hoja1!$E$2))*(DU50-$DU$7*Hoja1!$E$2),1+3/($DU$7*Hoja1!$E$2)*DU50)),DU50)</f>
        <v/>
      </c>
      <c r="DW50" s="47" t="b">
        <v>0</v>
      </c>
    </row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2024-05-03T14:02:14Z</dcterms:modified>
  <cp:lastModifiedBy>Leandro Gutierrez A.</cp:lastModifiedBy>
  <cp:lastPrinted>2012-11-30T22:55:58Z</cp:lastPrinted>
</cp:coreProperties>
</file>