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6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ABARZUA SANTANDER BASTIAN IGNACIO</t>
        </is>
      </c>
      <c r="C10" s="14" t="inlineStr">
        <is>
          <t>220581780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AGUILERA TORO VICENTE TOMAS</t>
        </is>
      </c>
      <c r="C11" s="18" t="inlineStr">
        <is>
          <t>219413009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AGUIRRE PEREIRA DIEGO ISAAC</t>
        </is>
      </c>
      <c r="C12" s="14" t="inlineStr">
        <is>
          <t>218898017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ALVARADO MIRANDA CRISTIAN IGNACIO</t>
        </is>
      </c>
      <c r="C13" s="18" t="inlineStr">
        <is>
          <t>219186738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ARANEDA SUAREZ DIEGO IGNACIO</t>
        </is>
      </c>
      <c r="C14" s="14" t="inlineStr">
        <is>
          <t>215251365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BARRIENTOS MONTERO MATIAS ANDRES</t>
        </is>
      </c>
      <c r="C15" s="14" t="inlineStr">
        <is>
          <t>21460857K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BERRIO AGUDELO ANDRES FELIPE</t>
        </is>
      </c>
      <c r="C16" s="18" t="inlineStr">
        <is>
          <t>267099650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BUSTOS NUNEZ VICENTE ANDRES</t>
        </is>
      </c>
      <c r="C17" s="14" t="inlineStr">
        <is>
          <t>212511048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CASTILLO ALVAREZ CRISTOBAL IGNACIO</t>
        </is>
      </c>
      <c r="C18" s="14" t="inlineStr">
        <is>
          <t>204477418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DE LA CRUZ CANAVAL STEVEN SEBASTIAN</t>
        </is>
      </c>
      <c r="C19" s="18" t="inlineStr">
        <is>
          <t>24762824K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DELGADILLO LEIVA JOSHUA IGNACIO</t>
        </is>
      </c>
      <c r="C20" s="18" t="inlineStr">
        <is>
          <t>218794130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DENTICE CARRASCO MANUEL ALBERTO</t>
        </is>
      </c>
      <c r="C21" s="18" t="inlineStr">
        <is>
          <t>219156758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DONOSO JEREZ MATIAS PATRICIO</t>
        </is>
      </c>
      <c r="C22" s="18" t="inlineStr">
        <is>
          <t>214739224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FIGUEROA RIOS DAVID FIGUEROA</t>
        </is>
      </c>
      <c r="C23" s="18" t="inlineStr">
        <is>
          <t>217882583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GONZALEZ BUENO FRANCISCO ANDRES</t>
        </is>
      </c>
      <c r="C24" s="18" t="inlineStr">
        <is>
          <t>219200358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GONZALEZ CEPEDA JHOCHUAN ANDRES</t>
        </is>
      </c>
      <c r="C25" s="18" t="inlineStr">
        <is>
          <t>218729827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IGLESIAS SEPULVEDA MILENKO MAXIMILIANO</t>
        </is>
      </c>
      <c r="C26" s="18" t="inlineStr">
        <is>
          <t>214746735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INFANTE TOBAR BORIS</t>
        </is>
      </c>
      <c r="C27" s="18" t="inlineStr">
        <is>
          <t>199047728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JABRE RETAMAL ISAIAS</t>
        </is>
      </c>
      <c r="C28" s="18" t="inlineStr">
        <is>
          <t>219840969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JERIA UBILLA ESTEBAN WILLIAM</t>
        </is>
      </c>
      <c r="C29" s="18" t="inlineStr">
        <is>
          <t>21220174K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LECAROS DUARTE PAMELA FERNANDA</t>
        </is>
      </c>
      <c r="C30" s="18" t="inlineStr">
        <is>
          <t>211690305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LIZAMA BAEZA ANDREA VALENTINA</t>
        </is>
      </c>
      <c r="C31" s="18" t="inlineStr">
        <is>
          <t>220649180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MONTEIRO RETAMAL MAXIMILIANO ESTEBAN</t>
        </is>
      </c>
      <c r="C32" s="18" t="inlineStr">
        <is>
          <t>219571615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MORA RODRIGUEZ BRUNO RENATO ALEXANDER</t>
        </is>
      </c>
      <c r="C33" s="18" t="inlineStr">
        <is>
          <t>220113531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MORALES PANGUINAO IGNACIO GIOVANI</t>
        </is>
      </c>
      <c r="C34" s="18" t="inlineStr">
        <is>
          <t>217387728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MORGADO BAEZA DYLAN MORGADO</t>
        </is>
      </c>
      <c r="C35" s="18" t="inlineStr">
        <is>
          <t>220855201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PENA BOBADILLA JUAN CRISTOBAL</t>
        </is>
      </c>
      <c r="C36" s="18" t="inlineStr">
        <is>
          <t>213566660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PIZARRO CURIANTE MARIO IGNACIO</t>
        </is>
      </c>
      <c r="C37" s="18" t="inlineStr">
        <is>
          <t>218852416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RAMOS CATRILEO ALEXANDER ANDRES</t>
        </is>
      </c>
      <c r="C38" s="18" t="inlineStr">
        <is>
          <t>218460615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RIQUELME MORA BENJAMIN MANUEL ROGEL</t>
        </is>
      </c>
      <c r="C39" s="18" t="inlineStr">
        <is>
          <t>216424506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ROMERO VASQUEZ NICOLE ANDREA</t>
        </is>
      </c>
      <c r="C40" s="18" t="inlineStr">
        <is>
          <t>198961469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SAAVEDRA ARROYO BENJAMIN ALEXIS</t>
        </is>
      </c>
      <c r="C41" s="18" t="inlineStr">
        <is>
          <t>223091369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SANCHEZ MOLINA DILAN NICOLAS</t>
        </is>
      </c>
      <c r="C42" s="18" t="inlineStr">
        <is>
          <t>220040704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TOBAR PINTO HECTOR IGNACIO</t>
        </is>
      </c>
      <c r="C43" s="18" t="inlineStr">
        <is>
          <t>220830802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TORO CONTRERAS RYAN ALEXANDER</t>
        </is>
      </c>
      <c r="C44" s="18" t="inlineStr">
        <is>
          <t>205322256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>
      <c r="A45" s="17" t="n">
        <v>36</v>
      </c>
      <c r="B45" s="18" t="inlineStr">
        <is>
          <t>TORRES MARTINEZ IGNACIO</t>
        </is>
      </c>
      <c r="C45" s="18" t="inlineStr">
        <is>
          <t>221040112</t>
        </is>
      </c>
      <c r="D45" s="1" t="n"/>
      <c r="E45" s="28" t="n"/>
      <c r="F45" s="19" t="n"/>
      <c r="G45" s="19" t="n"/>
      <c r="H45" s="19" t="n"/>
      <c r="I45" s="19" t="n"/>
      <c r="J45" s="19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  <c r="X45" s="19" t="n"/>
      <c r="Y45" s="19" t="n"/>
      <c r="Z45" s="19" t="n"/>
      <c r="AA45" s="19" t="n"/>
      <c r="AB45" s="19" t="n"/>
      <c r="AC45" s="19" t="n"/>
      <c r="AD45" s="19" t="n"/>
      <c r="AE45" s="19" t="n"/>
      <c r="AF45" s="19" t="n"/>
      <c r="AG45" s="19" t="n"/>
      <c r="AH45" s="19" t="n"/>
      <c r="AI45" s="19" t="n"/>
      <c r="AJ45" s="19" t="n"/>
      <c r="AK45" s="19" t="n"/>
      <c r="AL45" s="19" t="n"/>
      <c r="AM45" s="19" t="n"/>
      <c r="AN45" s="19" t="n"/>
      <c r="AO45" s="19" t="n"/>
      <c r="AP45" s="19" t="n"/>
      <c r="AQ45" s="19" t="n"/>
      <c r="AR45" s="19" t="n"/>
      <c r="AS45" s="19" t="n"/>
      <c r="AT45" s="19" t="n"/>
      <c r="AU45" s="19" t="n"/>
      <c r="AV45" s="19" t="n"/>
      <c r="AW45" s="19" t="n"/>
      <c r="AX45" s="19" t="n"/>
      <c r="AY45" s="19" t="n"/>
      <c r="AZ45" s="19" t="n"/>
      <c r="BA45" s="19" t="n"/>
      <c r="BB45" s="19" t="n"/>
      <c r="BC45" s="19" t="n"/>
      <c r="BD45" s="19" t="n"/>
      <c r="BE45" s="19" t="n"/>
      <c r="BF45" s="19" t="n"/>
      <c r="BG45" s="19" t="n"/>
      <c r="BH45" s="19" t="n"/>
      <c r="BI45" s="19" t="n"/>
      <c r="BJ45" s="19" t="n"/>
      <c r="BK45" s="19" t="n"/>
      <c r="BL45" s="29" t="n"/>
      <c r="BM45">
        <f>IFERROR(VLOOKUP(BM$6,Hoja1!$F$2:$XFD$61,E45+4,FALSE),0)</f>
        <v/>
      </c>
      <c r="BN45">
        <f>IFERROR(VLOOKUP(BN$6,Hoja1!$F$2:$XFD$61,F45+4,FALSE),0)</f>
        <v/>
      </c>
      <c r="BO45">
        <f>IFERROR(VLOOKUP(BO$6,Hoja1!$F$2:$XFD$61,G45+4,FALSE),0)</f>
        <v/>
      </c>
      <c r="BP45">
        <f>IFERROR(VLOOKUP(BP$6,Hoja1!$F$2:$XFD$61,H45+4,FALSE),0)</f>
        <v/>
      </c>
      <c r="BQ45">
        <f>IFERROR(VLOOKUP(BQ$6,Hoja1!$F$2:$XFD$61,I45+4,FALSE),0)</f>
        <v/>
      </c>
      <c r="BR45">
        <f>IFERROR(VLOOKUP(BR$6,Hoja1!$F$2:$XFD$61,J45+4,FALSE),0)</f>
        <v/>
      </c>
      <c r="BS45">
        <f>IFERROR(VLOOKUP(BS$6,Hoja1!$F$2:$XFD$61,K45+4,FALSE),0)</f>
        <v/>
      </c>
      <c r="BT45">
        <f>IFERROR(VLOOKUP(BT$6,Hoja1!$F$2:$XFD$61,L45+4,FALSE),0)</f>
        <v/>
      </c>
      <c r="BU45">
        <f>IFERROR(VLOOKUP(BU$6,Hoja1!$F$2:$XFD$61,M45+4,FALSE),0)</f>
        <v/>
      </c>
      <c r="BV45">
        <f>IFERROR(VLOOKUP(BV$6,Hoja1!$F$2:$XFD$61,N45+4,FALSE),0)</f>
        <v/>
      </c>
      <c r="BW45">
        <f>IFERROR(VLOOKUP(BW$6,Hoja1!$F$2:$XFD$61,O45+4,FALSE),0)</f>
        <v/>
      </c>
      <c r="BX45">
        <f>IFERROR(VLOOKUP(BX$6,Hoja1!$F$2:$XFD$61,P45+4,FALSE),0)</f>
        <v/>
      </c>
      <c r="BY45">
        <f>IFERROR(VLOOKUP(BY$6,Hoja1!$F$2:$XFD$61,Q45+4,FALSE),0)</f>
        <v/>
      </c>
      <c r="BZ45">
        <f>IFERROR(VLOOKUP(BZ$6,Hoja1!$F$2:$XFD$61,R45+4,FALSE),0)</f>
        <v/>
      </c>
      <c r="CA45">
        <f>IFERROR(VLOOKUP(CA$6,Hoja1!$F$2:$XFD$61,S45+4,FALSE),0)</f>
        <v/>
      </c>
      <c r="CB45">
        <f>IFERROR(VLOOKUP(CB$6,Hoja1!$F$2:$XFD$61,T45+4,FALSE),0)</f>
        <v/>
      </c>
      <c r="CC45">
        <f>IFERROR(VLOOKUP(CC$6,Hoja1!$F$2:$XFD$61,U45+4,FALSE),0)</f>
        <v/>
      </c>
      <c r="CD45">
        <f>IFERROR(VLOOKUP(CD$6,Hoja1!$F$2:$XFD$61,V45+4,FALSE),0)</f>
        <v/>
      </c>
      <c r="CE45">
        <f>IFERROR(VLOOKUP(CE$6,Hoja1!$F$2:$XFD$61,W45+4,FALSE),0)</f>
        <v/>
      </c>
      <c r="CF45">
        <f>IFERROR(VLOOKUP(CF$6,Hoja1!$F$2:$XFD$61,X45+4,FALSE),0)</f>
        <v/>
      </c>
      <c r="CG45">
        <f>IFERROR(VLOOKUP(CG$6,Hoja1!$F$2:$XFD$61,Y45+4,FALSE),0)</f>
        <v/>
      </c>
      <c r="CH45">
        <f>IFERROR(VLOOKUP(CH$6,Hoja1!$F$2:$XFD$61,Z45+4,FALSE),0)</f>
        <v/>
      </c>
      <c r="CI45">
        <f>IFERROR(VLOOKUP(CI$6,Hoja1!$F$2:$XFD$61,AA45+4,FALSE),0)</f>
        <v/>
      </c>
      <c r="CJ45">
        <f>IFERROR(VLOOKUP(CJ$6,Hoja1!$F$2:$XFD$61,AB45+4,FALSE),0)</f>
        <v/>
      </c>
      <c r="CK45">
        <f>IFERROR(VLOOKUP(CK$6,Hoja1!$F$2:$XFD$61,AC45+4,FALSE),0)</f>
        <v/>
      </c>
      <c r="CL45">
        <f>IFERROR(VLOOKUP(CL$6,Hoja1!$F$2:$XFD$61,AD45+4,FALSE),0)</f>
        <v/>
      </c>
      <c r="CM45">
        <f>IFERROR(VLOOKUP(CM$6,Hoja1!$F$2:$XFD$61,AE45+4,FALSE),0)</f>
        <v/>
      </c>
      <c r="CN45">
        <f>IFERROR(VLOOKUP(CN$6,Hoja1!$F$2:$XFD$61,AF45+4,FALSE),0)</f>
        <v/>
      </c>
      <c r="CO45">
        <f>IFERROR(VLOOKUP(CO$6,Hoja1!$F$2:$XFD$61,AG45+4,FALSE),0)</f>
        <v/>
      </c>
      <c r="CP45">
        <f>IFERROR(VLOOKUP(CP$6,Hoja1!$F$2:$XFD$61,AH45+4,FALSE),0)</f>
        <v/>
      </c>
      <c r="CQ45">
        <f>IFERROR(VLOOKUP(CQ$6,Hoja1!$F$2:$XFD$61,AI45+4,FALSE),0)</f>
        <v/>
      </c>
      <c r="CR45">
        <f>IFERROR(VLOOKUP(CR$6,Hoja1!$F$2:$XFD$61,AJ45+4,FALSE),0)</f>
        <v/>
      </c>
      <c r="CS45">
        <f>IFERROR(VLOOKUP(CS$6,Hoja1!$F$2:$XFD$61,AK45+4,FALSE),0)</f>
        <v/>
      </c>
      <c r="CT45">
        <f>IFERROR(VLOOKUP(CT$6,Hoja1!$F$2:$XFD$61,AL45+4,FALSE),0)</f>
        <v/>
      </c>
      <c r="CU45">
        <f>IFERROR(VLOOKUP(CU$6,Hoja1!$F$2:$XFD$61,AM45+4,FALSE),0)</f>
        <v/>
      </c>
      <c r="CV45">
        <f>IFERROR(VLOOKUP(CV$6,Hoja1!$F$2:$XFD$61,AN45+4,FALSE),0)</f>
        <v/>
      </c>
      <c r="CW45">
        <f>IFERROR(VLOOKUP(CW$6,Hoja1!$F$2:$XFD$61,AO45+4,FALSE),0)</f>
        <v/>
      </c>
      <c r="CX45">
        <f>IFERROR(VLOOKUP(CX$6,Hoja1!$F$2:$XFD$61,AP45+4,FALSE),0)</f>
        <v/>
      </c>
      <c r="CY45">
        <f>IFERROR(VLOOKUP(CY$6,Hoja1!$F$2:$XFD$61,AQ45+4,FALSE),0)</f>
        <v/>
      </c>
      <c r="CZ45">
        <f>IFERROR(VLOOKUP(CZ$6,Hoja1!$F$2:$XFD$61,AR45+4,FALSE),0)</f>
        <v/>
      </c>
      <c r="DA45">
        <f>IFERROR(VLOOKUP(DA$6,Hoja1!$F$2:$XFD$61,AS45+4,FALSE),0)</f>
        <v/>
      </c>
      <c r="DB45">
        <f>IFERROR(VLOOKUP(DB$6,Hoja1!$F$2:$XFD$61,AT45+4,FALSE),0)</f>
        <v/>
      </c>
      <c r="DC45">
        <f>IFERROR(VLOOKUP(DC$6,Hoja1!$F$2:$XFD$61,AU45+4,FALSE),0)</f>
        <v/>
      </c>
      <c r="DD45">
        <f>IFERROR(VLOOKUP(DD$6,Hoja1!$F$2:$XFD$61,AV45+4,FALSE),0)</f>
        <v/>
      </c>
      <c r="DE45">
        <f>IFERROR(VLOOKUP(DE$6,Hoja1!$F$2:$XFD$61,AW45+4,FALSE),0)</f>
        <v/>
      </c>
      <c r="DF45">
        <f>IFERROR(VLOOKUP(DF$6,Hoja1!$F$2:$XFD$61,AX45+4,FALSE),0)</f>
        <v/>
      </c>
      <c r="DG45">
        <f>IFERROR(VLOOKUP(DG$6,Hoja1!$F$2:$XFD$61,AY45+4,FALSE),0)</f>
        <v/>
      </c>
      <c r="DH45">
        <f>IFERROR(VLOOKUP(DH$6,Hoja1!$F$2:$XFD$61,AZ45+4,FALSE),0)</f>
        <v/>
      </c>
      <c r="DI45">
        <f>IFERROR(VLOOKUP(DI$6,Hoja1!$F$2:$XFD$61,BA45+4,FALSE),0)</f>
        <v/>
      </c>
      <c r="DJ45">
        <f>IFERROR(VLOOKUP(DJ$6,Hoja1!$F$2:$XFD$61,BB45+4,FALSE),0)</f>
        <v/>
      </c>
      <c r="DK45">
        <f>IFERROR(VLOOKUP(DK$6,Hoja1!$F$2:$XFD$61,BC45+4,FALSE),0)</f>
        <v/>
      </c>
      <c r="DL45">
        <f>IFERROR(VLOOKUP(DL$6,Hoja1!$F$2:$XFD$61,BD45+4,FALSE),0)</f>
        <v/>
      </c>
      <c r="DM45">
        <f>IFERROR(VLOOKUP(DM$6,Hoja1!$F$2:$XFD$61,BE45+4,FALSE),0)</f>
        <v/>
      </c>
      <c r="DN45">
        <f>IFERROR(VLOOKUP(DN$6,Hoja1!$F$2:$XFD$61,BF45+4,FALSE),0)</f>
        <v/>
      </c>
      <c r="DO45">
        <f>IFERROR(VLOOKUP(DO$6,Hoja1!$F$2:$XFD$61,BG45+4,FALSE),0)</f>
        <v/>
      </c>
      <c r="DP45">
        <f>IFERROR(VLOOKUP(DP$6,Hoja1!$F$2:$XFD$61,BH45+4,FALSE),0)</f>
        <v/>
      </c>
      <c r="DQ45">
        <f>IFERROR(VLOOKUP(DQ$6,Hoja1!$F$2:$XFD$61,BI45+4,FALSE),0)</f>
        <v/>
      </c>
      <c r="DR45">
        <f>IFERROR(VLOOKUP(DR$6,Hoja1!$F$2:$XFD$61,BJ45+4,FALSE),0)</f>
        <v/>
      </c>
      <c r="DS45">
        <f>IFERROR(VLOOKUP(DS$6,Hoja1!$F$2:$XFD$61,BK45+4,FALSE),0)</f>
        <v/>
      </c>
      <c r="DT45">
        <f>IFERROR(VLOOKUP(DT$6,Hoja1!$F$2:$XFD$61,BL45+4,FALSE),0)</f>
        <v/>
      </c>
      <c r="DU45" s="15">
        <f>IF(COUNT(E45:BL45)=$DV$7,IF(D45="","indique grupo",SUM(BM45:DT45)),"")</f>
        <v/>
      </c>
      <c r="DV45" s="16">
        <f>IF(D45&lt;&gt;"",IF(DU45="","",IF(DU45&gt;=$DU$7*Hoja1!$E$2,4+3/($DU$7*(1-Hoja1!$E$2))*(DU45-$DU$7*Hoja1!$E$2),1+3/($DU$7*Hoja1!$E$2)*DU45)),DU45)</f>
        <v/>
      </c>
      <c r="DW45" s="47" t="b">
        <v>0</v>
      </c>
    </row>
    <row r="46" ht="23.25" customHeight="1">
      <c r="A46" s="17" t="n">
        <v>37</v>
      </c>
      <c r="B46" s="18" t="inlineStr">
        <is>
          <t>ZAPATA BEHRENS NICOLAS SEBASTIAN</t>
        </is>
      </c>
      <c r="C46" s="18" t="inlineStr">
        <is>
          <t>219955553</t>
        </is>
      </c>
      <c r="D46" s="1" t="n"/>
      <c r="E46" s="28" t="n"/>
      <c r="F46" s="19" t="n"/>
      <c r="G46" s="19" t="n"/>
      <c r="H46" s="19" t="n"/>
      <c r="I46" s="19" t="n"/>
      <c r="J46" s="19" t="n"/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  <c r="X46" s="19" t="n"/>
      <c r="Y46" s="19" t="n"/>
      <c r="Z46" s="19" t="n"/>
      <c r="AA46" s="19" t="n"/>
      <c r="AB46" s="19" t="n"/>
      <c r="AC46" s="19" t="n"/>
      <c r="AD46" s="19" t="n"/>
      <c r="AE46" s="19" t="n"/>
      <c r="AF46" s="19" t="n"/>
      <c r="AG46" s="19" t="n"/>
      <c r="AH46" s="19" t="n"/>
      <c r="AI46" s="19" t="n"/>
      <c r="AJ46" s="19" t="n"/>
      <c r="AK46" s="19" t="n"/>
      <c r="AL46" s="19" t="n"/>
      <c r="AM46" s="19" t="n"/>
      <c r="AN46" s="19" t="n"/>
      <c r="AO46" s="19" t="n"/>
      <c r="AP46" s="19" t="n"/>
      <c r="AQ46" s="19" t="n"/>
      <c r="AR46" s="19" t="n"/>
      <c r="AS46" s="19" t="n"/>
      <c r="AT46" s="19" t="n"/>
      <c r="AU46" s="19" t="n"/>
      <c r="AV46" s="19" t="n"/>
      <c r="AW46" s="19" t="n"/>
      <c r="AX46" s="19" t="n"/>
      <c r="AY46" s="19" t="n"/>
      <c r="AZ46" s="19" t="n"/>
      <c r="BA46" s="19" t="n"/>
      <c r="BB46" s="19" t="n"/>
      <c r="BC46" s="19" t="n"/>
      <c r="BD46" s="19" t="n"/>
      <c r="BE46" s="19" t="n"/>
      <c r="BF46" s="19" t="n"/>
      <c r="BG46" s="19" t="n"/>
      <c r="BH46" s="19" t="n"/>
      <c r="BI46" s="19" t="n"/>
      <c r="BJ46" s="19" t="n"/>
      <c r="BK46" s="19" t="n"/>
      <c r="BL46" s="29" t="n"/>
      <c r="BM46">
        <f>IFERROR(VLOOKUP(BM$6,Hoja1!$F$2:$XFD$61,E46+4,FALSE),0)</f>
        <v/>
      </c>
      <c r="BN46">
        <f>IFERROR(VLOOKUP(BN$6,Hoja1!$F$2:$XFD$61,F46+4,FALSE),0)</f>
        <v/>
      </c>
      <c r="BO46">
        <f>IFERROR(VLOOKUP(BO$6,Hoja1!$F$2:$XFD$61,G46+4,FALSE),0)</f>
        <v/>
      </c>
      <c r="BP46">
        <f>IFERROR(VLOOKUP(BP$6,Hoja1!$F$2:$XFD$61,H46+4,FALSE),0)</f>
        <v/>
      </c>
      <c r="BQ46">
        <f>IFERROR(VLOOKUP(BQ$6,Hoja1!$F$2:$XFD$61,I46+4,FALSE),0)</f>
        <v/>
      </c>
      <c r="BR46">
        <f>IFERROR(VLOOKUP(BR$6,Hoja1!$F$2:$XFD$61,J46+4,FALSE),0)</f>
        <v/>
      </c>
      <c r="BS46">
        <f>IFERROR(VLOOKUP(BS$6,Hoja1!$F$2:$XFD$61,K46+4,FALSE),0)</f>
        <v/>
      </c>
      <c r="BT46">
        <f>IFERROR(VLOOKUP(BT$6,Hoja1!$F$2:$XFD$61,L46+4,FALSE),0)</f>
        <v/>
      </c>
      <c r="BU46">
        <f>IFERROR(VLOOKUP(BU$6,Hoja1!$F$2:$XFD$61,M46+4,FALSE),0)</f>
        <v/>
      </c>
      <c r="BV46">
        <f>IFERROR(VLOOKUP(BV$6,Hoja1!$F$2:$XFD$61,N46+4,FALSE),0)</f>
        <v/>
      </c>
      <c r="BW46">
        <f>IFERROR(VLOOKUP(BW$6,Hoja1!$F$2:$XFD$61,O46+4,FALSE),0)</f>
        <v/>
      </c>
      <c r="BX46">
        <f>IFERROR(VLOOKUP(BX$6,Hoja1!$F$2:$XFD$61,P46+4,FALSE),0)</f>
        <v/>
      </c>
      <c r="BY46">
        <f>IFERROR(VLOOKUP(BY$6,Hoja1!$F$2:$XFD$61,Q46+4,FALSE),0)</f>
        <v/>
      </c>
      <c r="BZ46">
        <f>IFERROR(VLOOKUP(BZ$6,Hoja1!$F$2:$XFD$61,R46+4,FALSE),0)</f>
        <v/>
      </c>
      <c r="CA46">
        <f>IFERROR(VLOOKUP(CA$6,Hoja1!$F$2:$XFD$61,S46+4,FALSE),0)</f>
        <v/>
      </c>
      <c r="CB46">
        <f>IFERROR(VLOOKUP(CB$6,Hoja1!$F$2:$XFD$61,T46+4,FALSE),0)</f>
        <v/>
      </c>
      <c r="CC46">
        <f>IFERROR(VLOOKUP(CC$6,Hoja1!$F$2:$XFD$61,U46+4,FALSE),0)</f>
        <v/>
      </c>
      <c r="CD46">
        <f>IFERROR(VLOOKUP(CD$6,Hoja1!$F$2:$XFD$61,V46+4,FALSE),0)</f>
        <v/>
      </c>
      <c r="CE46">
        <f>IFERROR(VLOOKUP(CE$6,Hoja1!$F$2:$XFD$61,W46+4,FALSE),0)</f>
        <v/>
      </c>
      <c r="CF46">
        <f>IFERROR(VLOOKUP(CF$6,Hoja1!$F$2:$XFD$61,X46+4,FALSE),0)</f>
        <v/>
      </c>
      <c r="CG46">
        <f>IFERROR(VLOOKUP(CG$6,Hoja1!$F$2:$XFD$61,Y46+4,FALSE),0)</f>
        <v/>
      </c>
      <c r="CH46">
        <f>IFERROR(VLOOKUP(CH$6,Hoja1!$F$2:$XFD$61,Z46+4,FALSE),0)</f>
        <v/>
      </c>
      <c r="CI46">
        <f>IFERROR(VLOOKUP(CI$6,Hoja1!$F$2:$XFD$61,AA46+4,FALSE),0)</f>
        <v/>
      </c>
      <c r="CJ46">
        <f>IFERROR(VLOOKUP(CJ$6,Hoja1!$F$2:$XFD$61,AB46+4,FALSE),0)</f>
        <v/>
      </c>
      <c r="CK46">
        <f>IFERROR(VLOOKUP(CK$6,Hoja1!$F$2:$XFD$61,AC46+4,FALSE),0)</f>
        <v/>
      </c>
      <c r="CL46">
        <f>IFERROR(VLOOKUP(CL$6,Hoja1!$F$2:$XFD$61,AD46+4,FALSE),0)</f>
        <v/>
      </c>
      <c r="CM46">
        <f>IFERROR(VLOOKUP(CM$6,Hoja1!$F$2:$XFD$61,AE46+4,FALSE),0)</f>
        <v/>
      </c>
      <c r="CN46">
        <f>IFERROR(VLOOKUP(CN$6,Hoja1!$F$2:$XFD$61,AF46+4,FALSE),0)</f>
        <v/>
      </c>
      <c r="CO46">
        <f>IFERROR(VLOOKUP(CO$6,Hoja1!$F$2:$XFD$61,AG46+4,FALSE),0)</f>
        <v/>
      </c>
      <c r="CP46">
        <f>IFERROR(VLOOKUP(CP$6,Hoja1!$F$2:$XFD$61,AH46+4,FALSE),0)</f>
        <v/>
      </c>
      <c r="CQ46">
        <f>IFERROR(VLOOKUP(CQ$6,Hoja1!$F$2:$XFD$61,AI46+4,FALSE),0)</f>
        <v/>
      </c>
      <c r="CR46">
        <f>IFERROR(VLOOKUP(CR$6,Hoja1!$F$2:$XFD$61,AJ46+4,FALSE),0)</f>
        <v/>
      </c>
      <c r="CS46">
        <f>IFERROR(VLOOKUP(CS$6,Hoja1!$F$2:$XFD$61,AK46+4,FALSE),0)</f>
        <v/>
      </c>
      <c r="CT46">
        <f>IFERROR(VLOOKUP(CT$6,Hoja1!$F$2:$XFD$61,AL46+4,FALSE),0)</f>
        <v/>
      </c>
      <c r="CU46">
        <f>IFERROR(VLOOKUP(CU$6,Hoja1!$F$2:$XFD$61,AM46+4,FALSE),0)</f>
        <v/>
      </c>
      <c r="CV46">
        <f>IFERROR(VLOOKUP(CV$6,Hoja1!$F$2:$XFD$61,AN46+4,FALSE),0)</f>
        <v/>
      </c>
      <c r="CW46">
        <f>IFERROR(VLOOKUP(CW$6,Hoja1!$F$2:$XFD$61,AO46+4,FALSE),0)</f>
        <v/>
      </c>
      <c r="CX46">
        <f>IFERROR(VLOOKUP(CX$6,Hoja1!$F$2:$XFD$61,AP46+4,FALSE),0)</f>
        <v/>
      </c>
      <c r="CY46">
        <f>IFERROR(VLOOKUP(CY$6,Hoja1!$F$2:$XFD$61,AQ46+4,FALSE),0)</f>
        <v/>
      </c>
      <c r="CZ46">
        <f>IFERROR(VLOOKUP(CZ$6,Hoja1!$F$2:$XFD$61,AR46+4,FALSE),0)</f>
        <v/>
      </c>
      <c r="DA46">
        <f>IFERROR(VLOOKUP(DA$6,Hoja1!$F$2:$XFD$61,AS46+4,FALSE),0)</f>
        <v/>
      </c>
      <c r="DB46">
        <f>IFERROR(VLOOKUP(DB$6,Hoja1!$F$2:$XFD$61,AT46+4,FALSE),0)</f>
        <v/>
      </c>
      <c r="DC46">
        <f>IFERROR(VLOOKUP(DC$6,Hoja1!$F$2:$XFD$61,AU46+4,FALSE),0)</f>
        <v/>
      </c>
      <c r="DD46">
        <f>IFERROR(VLOOKUP(DD$6,Hoja1!$F$2:$XFD$61,AV46+4,FALSE),0)</f>
        <v/>
      </c>
      <c r="DE46">
        <f>IFERROR(VLOOKUP(DE$6,Hoja1!$F$2:$XFD$61,AW46+4,FALSE),0)</f>
        <v/>
      </c>
      <c r="DF46">
        <f>IFERROR(VLOOKUP(DF$6,Hoja1!$F$2:$XFD$61,AX46+4,FALSE),0)</f>
        <v/>
      </c>
      <c r="DG46">
        <f>IFERROR(VLOOKUP(DG$6,Hoja1!$F$2:$XFD$61,AY46+4,FALSE),0)</f>
        <v/>
      </c>
      <c r="DH46">
        <f>IFERROR(VLOOKUP(DH$6,Hoja1!$F$2:$XFD$61,AZ46+4,FALSE),0)</f>
        <v/>
      </c>
      <c r="DI46">
        <f>IFERROR(VLOOKUP(DI$6,Hoja1!$F$2:$XFD$61,BA46+4,FALSE),0)</f>
        <v/>
      </c>
      <c r="DJ46">
        <f>IFERROR(VLOOKUP(DJ$6,Hoja1!$F$2:$XFD$61,BB46+4,FALSE),0)</f>
        <v/>
      </c>
      <c r="DK46">
        <f>IFERROR(VLOOKUP(DK$6,Hoja1!$F$2:$XFD$61,BC46+4,FALSE),0)</f>
        <v/>
      </c>
      <c r="DL46">
        <f>IFERROR(VLOOKUP(DL$6,Hoja1!$F$2:$XFD$61,BD46+4,FALSE),0)</f>
        <v/>
      </c>
      <c r="DM46">
        <f>IFERROR(VLOOKUP(DM$6,Hoja1!$F$2:$XFD$61,BE46+4,FALSE),0)</f>
        <v/>
      </c>
      <c r="DN46">
        <f>IFERROR(VLOOKUP(DN$6,Hoja1!$F$2:$XFD$61,BF46+4,FALSE),0)</f>
        <v/>
      </c>
      <c r="DO46">
        <f>IFERROR(VLOOKUP(DO$6,Hoja1!$F$2:$XFD$61,BG46+4,FALSE),0)</f>
        <v/>
      </c>
      <c r="DP46">
        <f>IFERROR(VLOOKUP(DP$6,Hoja1!$F$2:$XFD$61,BH46+4,FALSE),0)</f>
        <v/>
      </c>
      <c r="DQ46">
        <f>IFERROR(VLOOKUP(DQ$6,Hoja1!$F$2:$XFD$61,BI46+4,FALSE),0)</f>
        <v/>
      </c>
      <c r="DR46">
        <f>IFERROR(VLOOKUP(DR$6,Hoja1!$F$2:$XFD$61,BJ46+4,FALSE),0)</f>
        <v/>
      </c>
      <c r="DS46">
        <f>IFERROR(VLOOKUP(DS$6,Hoja1!$F$2:$XFD$61,BK46+4,FALSE),0)</f>
        <v/>
      </c>
      <c r="DT46">
        <f>IFERROR(VLOOKUP(DT$6,Hoja1!$F$2:$XFD$61,BL46+4,FALSE),0)</f>
        <v/>
      </c>
      <c r="DU46" s="15">
        <f>IF(COUNT(E46:BL46)=$DV$7,IF(D46="","indique grupo",SUM(BM46:DT46)),"")</f>
        <v/>
      </c>
      <c r="DV46" s="16">
        <f>IF(D46&lt;&gt;"",IF(DU46="","",IF(DU46&gt;=$DU$7*Hoja1!$E$2,4+3/($DU$7*(1-Hoja1!$E$2))*(DU46-$DU$7*Hoja1!$E$2),1+3/($DU$7*Hoja1!$E$2)*DU46)),DU46)</f>
        <v/>
      </c>
      <c r="DW46" s="47" t="b">
        <v>0</v>
      </c>
    </row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2024-05-03T14:12:14Z</dcterms:modified>
  <cp:lastModifiedBy>Leandro Gutierrez A.</cp:lastModifiedBy>
  <cp:lastPrinted>2012-11-30T22:55:58Z</cp:lastPrinted>
</cp:coreProperties>
</file>