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50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ARANGUIZ OLIVARES IGNACIO ANDRES</t>
        </is>
      </c>
      <c r="C10" s="14" t="inlineStr">
        <is>
          <t>212796859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ARAYA OSORIO MAXIMO</t>
        </is>
      </c>
      <c r="C11" s="18" t="inlineStr">
        <is>
          <t>218556388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AREVALO VALDES JIMMY EXEQUIEL</t>
        </is>
      </c>
      <c r="C12" s="14" t="inlineStr">
        <is>
          <t>218190669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BALCAZAR GAETE OSCAR</t>
        </is>
      </c>
      <c r="C13" s="18" t="inlineStr">
        <is>
          <t>218106188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BLANCO AMARO DIEGO JOAQUIN</t>
        </is>
      </c>
      <c r="C14" s="14" t="inlineStr">
        <is>
          <t>214915782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CANDIA VALENCIA ALONSO BENJAMIN</t>
        </is>
      </c>
      <c r="C15" s="14" t="inlineStr">
        <is>
          <t>216604415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CARRIEL PONCE BRIAN DANIEL</t>
        </is>
      </c>
      <c r="C16" s="18" t="inlineStr">
        <is>
          <t>215376915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CAVIERES GALLARDO CRISTIAN</t>
        </is>
      </c>
      <c r="C17" s="14" t="inlineStr">
        <is>
          <t>207220892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CHAUL ROJAS YAREM</t>
        </is>
      </c>
      <c r="C18" s="14" t="inlineStr">
        <is>
          <t>219509375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CONTRERAS CARRASCO BENJAMIN ALONSO</t>
        </is>
      </c>
      <c r="C19" s="18" t="inlineStr">
        <is>
          <t>217155363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CORNEJO DONOSO MARTIN IGNACIO</t>
        </is>
      </c>
      <c r="C20" s="18" t="inlineStr">
        <is>
          <t>219819765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CORTES GARCIA ANGEL ALBERTO</t>
        </is>
      </c>
      <c r="C21" s="18" t="inlineStr">
        <is>
          <t>214722402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DIAZ CESPEDES MAURICIO ESTEBAN</t>
        </is>
      </c>
      <c r="C22" s="18" t="inlineStr">
        <is>
          <t>20904207K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DIAZ SILVA SEBASTIAN IGNACIO</t>
        </is>
      </c>
      <c r="C23" s="18" t="inlineStr">
        <is>
          <t>216091833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FUENZALIDA VERA OLIVER VALDIR</t>
        </is>
      </c>
      <c r="C24" s="18" t="inlineStr">
        <is>
          <t>216178777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GAETE HUERTA BENJAMIN</t>
        </is>
      </c>
      <c r="C25" s="18" t="inlineStr">
        <is>
          <t>218609074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GARCIA PAREDES MANUEL</t>
        </is>
      </c>
      <c r="C26" s="18" t="inlineStr">
        <is>
          <t>212376280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GONZALEZ CASTILLO ANGEL DANIEL</t>
        </is>
      </c>
      <c r="C27" s="18" t="inlineStr">
        <is>
          <t>281592106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GONZALEZ DRAGO DIEGO ALFREDO</t>
        </is>
      </c>
      <c r="C28" s="18" t="inlineStr">
        <is>
          <t>215972968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HERNANDEZ GONZALEZ BENJAMIN JESUS</t>
        </is>
      </c>
      <c r="C29" s="18" t="inlineStr">
        <is>
          <t>212819743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HUECHUCURA NECULFILO JOAQUIN ANDRES</t>
        </is>
      </c>
      <c r="C30" s="18" t="inlineStr">
        <is>
          <t>217574749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ITE PIZARRO MARTIN IGNACIO</t>
        </is>
      </c>
      <c r="C31" s="18" t="inlineStr">
        <is>
          <t>209908328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JOFRE HERRERA FRANCISCO ANTONIO</t>
        </is>
      </c>
      <c r="C32" s="18" t="inlineStr">
        <is>
          <t>212231029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LASTRA DIAZ DIEGO</t>
        </is>
      </c>
      <c r="C33" s="18" t="inlineStr">
        <is>
          <t>218576176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LEON LEON MARIANA ALEJANDRA</t>
        </is>
      </c>
      <c r="C34" s="18" t="inlineStr">
        <is>
          <t>217754755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LOPEZ DIAZ NICOLAS</t>
        </is>
      </c>
      <c r="C35" s="18" t="inlineStr">
        <is>
          <t>21396190K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MOLINA RODRIGUEZ ERIC ESTEBAN</t>
        </is>
      </c>
      <c r="C36" s="18" t="inlineStr">
        <is>
          <t>215305414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MONARES SALINAS DIEGO MONARES</t>
        </is>
      </c>
      <c r="C37" s="18" t="inlineStr">
        <is>
          <t>215727246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PEREZ AREVALO BELZAHYD AYELEN</t>
        </is>
      </c>
      <c r="C38" s="18" t="inlineStr">
        <is>
          <t>216053575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PEREZ FUENTES ALONSO SIMON</t>
        </is>
      </c>
      <c r="C39" s="18" t="inlineStr">
        <is>
          <t>208167278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QUILAQUEO STUARDO GABRIEL</t>
        </is>
      </c>
      <c r="C40" s="18" t="inlineStr">
        <is>
          <t>216669401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RETAMAL DURAN YOSHUA YAIR</t>
        </is>
      </c>
      <c r="C41" s="18" t="inlineStr">
        <is>
          <t>204207771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REYES DONOSO FRANCO AARON</t>
        </is>
      </c>
      <c r="C42" s="18" t="inlineStr">
        <is>
          <t>213813358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REYES ZAMORA YEIKO</t>
        </is>
      </c>
      <c r="C43" s="18" t="inlineStr">
        <is>
          <t>197464739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RIFFO ABARZUA DIEGO ALEJANDRO</t>
        </is>
      </c>
      <c r="C44" s="18" t="inlineStr">
        <is>
          <t>213272675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ROCO MUNOZ FELIPE</t>
        </is>
      </c>
      <c r="C45" s="18" t="inlineStr">
        <is>
          <t>219920202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SANDOVAL QUITRAL JUAN PABLO</t>
        </is>
      </c>
      <c r="C46" s="18" t="inlineStr">
        <is>
          <t>218255957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VALDES CONTARDO MARTIN ALEJANDRO</t>
        </is>
      </c>
      <c r="C47" s="18" t="inlineStr">
        <is>
          <t>219267835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VEGA SAN MARTIN BENJAMIN EDUARDO</t>
        </is>
      </c>
      <c r="C48" s="18" t="inlineStr">
        <is>
          <t>217401747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VERA ESPINOSA BELGICA GIULIANA</t>
        </is>
      </c>
      <c r="C49" s="18" t="inlineStr">
        <is>
          <t>20941256K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>
      <c r="A50" s="17" t="n">
        <v>41</v>
      </c>
      <c r="B50" s="18" t="inlineStr">
        <is>
          <t>VIDAL ZUNIGA DANIEL MATIAS</t>
        </is>
      </c>
      <c r="C50" s="18" t="inlineStr">
        <is>
          <t>213473190</t>
        </is>
      </c>
      <c r="D50" s="1" t="n"/>
      <c r="E50" s="28" t="n"/>
      <c r="F50" s="19" t="n"/>
      <c r="G50" s="19" t="n"/>
      <c r="H50" s="19" t="n"/>
      <c r="I50" s="19" t="n"/>
      <c r="J50" s="19" t="n"/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  <c r="X50" s="19" t="n"/>
      <c r="Y50" s="19" t="n"/>
      <c r="Z50" s="19" t="n"/>
      <c r="AA50" s="19" t="n"/>
      <c r="AB50" s="19" t="n"/>
      <c r="AC50" s="19" t="n"/>
      <c r="AD50" s="19" t="n"/>
      <c r="AE50" s="19" t="n"/>
      <c r="AF50" s="19" t="n"/>
      <c r="AG50" s="19" t="n"/>
      <c r="AH50" s="19" t="n"/>
      <c r="AI50" s="19" t="n"/>
      <c r="AJ50" s="19" t="n"/>
      <c r="AK50" s="19" t="n"/>
      <c r="AL50" s="19" t="n"/>
      <c r="AM50" s="19" t="n"/>
      <c r="AN50" s="19" t="n"/>
      <c r="AO50" s="19" t="n"/>
      <c r="AP50" s="19" t="n"/>
      <c r="AQ50" s="19" t="n"/>
      <c r="AR50" s="19" t="n"/>
      <c r="AS50" s="19" t="n"/>
      <c r="AT50" s="19" t="n"/>
      <c r="AU50" s="19" t="n"/>
      <c r="AV50" s="19" t="n"/>
      <c r="AW50" s="19" t="n"/>
      <c r="AX50" s="19" t="n"/>
      <c r="AY50" s="19" t="n"/>
      <c r="AZ50" s="19" t="n"/>
      <c r="BA50" s="19" t="n"/>
      <c r="BB50" s="19" t="n"/>
      <c r="BC50" s="19" t="n"/>
      <c r="BD50" s="19" t="n"/>
      <c r="BE50" s="19" t="n"/>
      <c r="BF50" s="19" t="n"/>
      <c r="BG50" s="19" t="n"/>
      <c r="BH50" s="19" t="n"/>
      <c r="BI50" s="19" t="n"/>
      <c r="BJ50" s="19" t="n"/>
      <c r="BK50" s="19" t="n"/>
      <c r="BL50" s="29" t="n"/>
      <c r="BM50">
        <f>IFERROR(VLOOKUP(BM$6,Hoja1!$F$2:$XFD$61,E50+4,FALSE),0)</f>
        <v/>
      </c>
      <c r="BN50">
        <f>IFERROR(VLOOKUP(BN$6,Hoja1!$F$2:$XFD$61,F50+4,FALSE),0)</f>
        <v/>
      </c>
      <c r="BO50">
        <f>IFERROR(VLOOKUP(BO$6,Hoja1!$F$2:$XFD$61,G50+4,FALSE),0)</f>
        <v/>
      </c>
      <c r="BP50">
        <f>IFERROR(VLOOKUP(BP$6,Hoja1!$F$2:$XFD$61,H50+4,FALSE),0)</f>
        <v/>
      </c>
      <c r="BQ50">
        <f>IFERROR(VLOOKUP(BQ$6,Hoja1!$F$2:$XFD$61,I50+4,FALSE),0)</f>
        <v/>
      </c>
      <c r="BR50">
        <f>IFERROR(VLOOKUP(BR$6,Hoja1!$F$2:$XFD$61,J50+4,FALSE),0)</f>
        <v/>
      </c>
      <c r="BS50">
        <f>IFERROR(VLOOKUP(BS$6,Hoja1!$F$2:$XFD$61,K50+4,FALSE),0)</f>
        <v/>
      </c>
      <c r="BT50">
        <f>IFERROR(VLOOKUP(BT$6,Hoja1!$F$2:$XFD$61,L50+4,FALSE),0)</f>
        <v/>
      </c>
      <c r="BU50">
        <f>IFERROR(VLOOKUP(BU$6,Hoja1!$F$2:$XFD$61,M50+4,FALSE),0)</f>
        <v/>
      </c>
      <c r="BV50">
        <f>IFERROR(VLOOKUP(BV$6,Hoja1!$F$2:$XFD$61,N50+4,FALSE),0)</f>
        <v/>
      </c>
      <c r="BW50">
        <f>IFERROR(VLOOKUP(BW$6,Hoja1!$F$2:$XFD$61,O50+4,FALSE),0)</f>
        <v/>
      </c>
      <c r="BX50">
        <f>IFERROR(VLOOKUP(BX$6,Hoja1!$F$2:$XFD$61,P50+4,FALSE),0)</f>
        <v/>
      </c>
      <c r="BY50">
        <f>IFERROR(VLOOKUP(BY$6,Hoja1!$F$2:$XFD$61,Q50+4,FALSE),0)</f>
        <v/>
      </c>
      <c r="BZ50">
        <f>IFERROR(VLOOKUP(BZ$6,Hoja1!$F$2:$XFD$61,R50+4,FALSE),0)</f>
        <v/>
      </c>
      <c r="CA50">
        <f>IFERROR(VLOOKUP(CA$6,Hoja1!$F$2:$XFD$61,S50+4,FALSE),0)</f>
        <v/>
      </c>
      <c r="CB50">
        <f>IFERROR(VLOOKUP(CB$6,Hoja1!$F$2:$XFD$61,T50+4,FALSE),0)</f>
        <v/>
      </c>
      <c r="CC50">
        <f>IFERROR(VLOOKUP(CC$6,Hoja1!$F$2:$XFD$61,U50+4,FALSE),0)</f>
        <v/>
      </c>
      <c r="CD50">
        <f>IFERROR(VLOOKUP(CD$6,Hoja1!$F$2:$XFD$61,V50+4,FALSE),0)</f>
        <v/>
      </c>
      <c r="CE50">
        <f>IFERROR(VLOOKUP(CE$6,Hoja1!$F$2:$XFD$61,W50+4,FALSE),0)</f>
        <v/>
      </c>
      <c r="CF50">
        <f>IFERROR(VLOOKUP(CF$6,Hoja1!$F$2:$XFD$61,X50+4,FALSE),0)</f>
        <v/>
      </c>
      <c r="CG50">
        <f>IFERROR(VLOOKUP(CG$6,Hoja1!$F$2:$XFD$61,Y50+4,FALSE),0)</f>
        <v/>
      </c>
      <c r="CH50">
        <f>IFERROR(VLOOKUP(CH$6,Hoja1!$F$2:$XFD$61,Z50+4,FALSE),0)</f>
        <v/>
      </c>
      <c r="CI50">
        <f>IFERROR(VLOOKUP(CI$6,Hoja1!$F$2:$XFD$61,AA50+4,FALSE),0)</f>
        <v/>
      </c>
      <c r="CJ50">
        <f>IFERROR(VLOOKUP(CJ$6,Hoja1!$F$2:$XFD$61,AB50+4,FALSE),0)</f>
        <v/>
      </c>
      <c r="CK50">
        <f>IFERROR(VLOOKUP(CK$6,Hoja1!$F$2:$XFD$61,AC50+4,FALSE),0)</f>
        <v/>
      </c>
      <c r="CL50">
        <f>IFERROR(VLOOKUP(CL$6,Hoja1!$F$2:$XFD$61,AD50+4,FALSE),0)</f>
        <v/>
      </c>
      <c r="CM50">
        <f>IFERROR(VLOOKUP(CM$6,Hoja1!$F$2:$XFD$61,AE50+4,FALSE),0)</f>
        <v/>
      </c>
      <c r="CN50">
        <f>IFERROR(VLOOKUP(CN$6,Hoja1!$F$2:$XFD$61,AF50+4,FALSE),0)</f>
        <v/>
      </c>
      <c r="CO50">
        <f>IFERROR(VLOOKUP(CO$6,Hoja1!$F$2:$XFD$61,AG50+4,FALSE),0)</f>
        <v/>
      </c>
      <c r="CP50">
        <f>IFERROR(VLOOKUP(CP$6,Hoja1!$F$2:$XFD$61,AH50+4,FALSE),0)</f>
        <v/>
      </c>
      <c r="CQ50">
        <f>IFERROR(VLOOKUP(CQ$6,Hoja1!$F$2:$XFD$61,AI50+4,FALSE),0)</f>
        <v/>
      </c>
      <c r="CR50">
        <f>IFERROR(VLOOKUP(CR$6,Hoja1!$F$2:$XFD$61,AJ50+4,FALSE),0)</f>
        <v/>
      </c>
      <c r="CS50">
        <f>IFERROR(VLOOKUP(CS$6,Hoja1!$F$2:$XFD$61,AK50+4,FALSE),0)</f>
        <v/>
      </c>
      <c r="CT50">
        <f>IFERROR(VLOOKUP(CT$6,Hoja1!$F$2:$XFD$61,AL50+4,FALSE),0)</f>
        <v/>
      </c>
      <c r="CU50">
        <f>IFERROR(VLOOKUP(CU$6,Hoja1!$F$2:$XFD$61,AM50+4,FALSE),0)</f>
        <v/>
      </c>
      <c r="CV50">
        <f>IFERROR(VLOOKUP(CV$6,Hoja1!$F$2:$XFD$61,AN50+4,FALSE),0)</f>
        <v/>
      </c>
      <c r="CW50">
        <f>IFERROR(VLOOKUP(CW$6,Hoja1!$F$2:$XFD$61,AO50+4,FALSE),0)</f>
        <v/>
      </c>
      <c r="CX50">
        <f>IFERROR(VLOOKUP(CX$6,Hoja1!$F$2:$XFD$61,AP50+4,FALSE),0)</f>
        <v/>
      </c>
      <c r="CY50">
        <f>IFERROR(VLOOKUP(CY$6,Hoja1!$F$2:$XFD$61,AQ50+4,FALSE),0)</f>
        <v/>
      </c>
      <c r="CZ50">
        <f>IFERROR(VLOOKUP(CZ$6,Hoja1!$F$2:$XFD$61,AR50+4,FALSE),0)</f>
        <v/>
      </c>
      <c r="DA50">
        <f>IFERROR(VLOOKUP(DA$6,Hoja1!$F$2:$XFD$61,AS50+4,FALSE),0)</f>
        <v/>
      </c>
      <c r="DB50">
        <f>IFERROR(VLOOKUP(DB$6,Hoja1!$F$2:$XFD$61,AT50+4,FALSE),0)</f>
        <v/>
      </c>
      <c r="DC50">
        <f>IFERROR(VLOOKUP(DC$6,Hoja1!$F$2:$XFD$61,AU50+4,FALSE),0)</f>
        <v/>
      </c>
      <c r="DD50">
        <f>IFERROR(VLOOKUP(DD$6,Hoja1!$F$2:$XFD$61,AV50+4,FALSE),0)</f>
        <v/>
      </c>
      <c r="DE50">
        <f>IFERROR(VLOOKUP(DE$6,Hoja1!$F$2:$XFD$61,AW50+4,FALSE),0)</f>
        <v/>
      </c>
      <c r="DF50">
        <f>IFERROR(VLOOKUP(DF$6,Hoja1!$F$2:$XFD$61,AX50+4,FALSE),0)</f>
        <v/>
      </c>
      <c r="DG50">
        <f>IFERROR(VLOOKUP(DG$6,Hoja1!$F$2:$XFD$61,AY50+4,FALSE),0)</f>
        <v/>
      </c>
      <c r="DH50">
        <f>IFERROR(VLOOKUP(DH$6,Hoja1!$F$2:$XFD$61,AZ50+4,FALSE),0)</f>
        <v/>
      </c>
      <c r="DI50">
        <f>IFERROR(VLOOKUP(DI$6,Hoja1!$F$2:$XFD$61,BA50+4,FALSE),0)</f>
        <v/>
      </c>
      <c r="DJ50">
        <f>IFERROR(VLOOKUP(DJ$6,Hoja1!$F$2:$XFD$61,BB50+4,FALSE),0)</f>
        <v/>
      </c>
      <c r="DK50">
        <f>IFERROR(VLOOKUP(DK$6,Hoja1!$F$2:$XFD$61,BC50+4,FALSE),0)</f>
        <v/>
      </c>
      <c r="DL50">
        <f>IFERROR(VLOOKUP(DL$6,Hoja1!$F$2:$XFD$61,BD50+4,FALSE),0)</f>
        <v/>
      </c>
      <c r="DM50">
        <f>IFERROR(VLOOKUP(DM$6,Hoja1!$F$2:$XFD$61,BE50+4,FALSE),0)</f>
        <v/>
      </c>
      <c r="DN50">
        <f>IFERROR(VLOOKUP(DN$6,Hoja1!$F$2:$XFD$61,BF50+4,FALSE),0)</f>
        <v/>
      </c>
      <c r="DO50">
        <f>IFERROR(VLOOKUP(DO$6,Hoja1!$F$2:$XFD$61,BG50+4,FALSE),0)</f>
        <v/>
      </c>
      <c r="DP50">
        <f>IFERROR(VLOOKUP(DP$6,Hoja1!$F$2:$XFD$61,BH50+4,FALSE),0)</f>
        <v/>
      </c>
      <c r="DQ50">
        <f>IFERROR(VLOOKUP(DQ$6,Hoja1!$F$2:$XFD$61,BI50+4,FALSE),0)</f>
        <v/>
      </c>
      <c r="DR50">
        <f>IFERROR(VLOOKUP(DR$6,Hoja1!$F$2:$XFD$61,BJ50+4,FALSE),0)</f>
        <v/>
      </c>
      <c r="DS50">
        <f>IFERROR(VLOOKUP(DS$6,Hoja1!$F$2:$XFD$61,BK50+4,FALSE),0)</f>
        <v/>
      </c>
      <c r="DT50">
        <f>IFERROR(VLOOKUP(DT$6,Hoja1!$F$2:$XFD$61,BL50+4,FALSE),0)</f>
        <v/>
      </c>
      <c r="DU50" s="15">
        <f>IF(COUNT(E50:BL50)=$DV$7,IF(D50="","indique grupo",SUM(BM50:DT50)),"")</f>
        <v/>
      </c>
      <c r="DV50" s="16">
        <f>IF(D50&lt;&gt;"",IF(DU50="","",IF(DU50&gt;=$DU$7*Hoja1!$E$2,4+3/($DU$7*(1-Hoja1!$E$2))*(DU50-$DU$7*Hoja1!$E$2),1+3/($DU$7*Hoja1!$E$2)*DU50)),DU50)</f>
        <v/>
      </c>
      <c r="DW50" s="47" t="b">
        <v>0</v>
      </c>
    </row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2024-05-03T14:07:56Z</dcterms:modified>
  <cp:lastModifiedBy>Leandro Gutierrez A.</cp:lastModifiedBy>
  <cp:lastPrinted>2012-11-30T22:55:58Z</cp:lastPrinted>
</cp:coreProperties>
</file>