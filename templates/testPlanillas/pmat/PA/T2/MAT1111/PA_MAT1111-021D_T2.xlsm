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ACEVEDO MORA CARLOS IVAN</t>
        </is>
      </c>
      <c r="C10" s="14" t="inlineStr">
        <is>
          <t>214280841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ALEGRIA BRAVO BENJAMIN JESUS</t>
        </is>
      </c>
      <c r="C11" s="18" t="inlineStr">
        <is>
          <t>219042663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ALVEAL CORTES DYLAN KENAIT</t>
        </is>
      </c>
      <c r="C12" s="14" t="inlineStr">
        <is>
          <t>220132382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ARAOS FERNANDEZ MAXIMILIANO FRANCISCO</t>
        </is>
      </c>
      <c r="C13" s="18" t="inlineStr">
        <is>
          <t>218241336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BORDONES RODRIGUEZ ISRAEL ABDIAS</t>
        </is>
      </c>
      <c r="C14" s="14" t="inlineStr">
        <is>
          <t>220687570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CACERES ZAPATA WILLIAM BENJAMIN</t>
        </is>
      </c>
      <c r="C15" s="14" t="inlineStr">
        <is>
          <t>220983870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COCQ OLGUIN PAMELA FRANCISCA</t>
        </is>
      </c>
      <c r="C16" s="18" t="inlineStr">
        <is>
          <t>170520173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GARRIDO ROBINSON FERNANDO</t>
        </is>
      </c>
      <c r="C17" s="14" t="inlineStr">
        <is>
          <t>21996384K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CRUCES ARANEDA BENJAMIN JACOB</t>
        </is>
      </c>
      <c r="C18" s="14" t="inlineStr">
        <is>
          <t>219085419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ESTRADA PLAZA JOHAN MANUEL</t>
        </is>
      </c>
      <c r="C19" s="18" t="inlineStr">
        <is>
          <t>217407427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SANHUEZA GEISON ALEXANDER</t>
        </is>
      </c>
      <c r="C20" s="18" t="inlineStr">
        <is>
          <t>21055842K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GUZMAN GARCIA FRANCISCO AMARO</t>
        </is>
      </c>
      <c r="C21" s="18" t="inlineStr">
        <is>
          <t>221068009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HERNANDEZ CHANDIA CRISTIAN ALEJANDRO</t>
        </is>
      </c>
      <c r="C22" s="18" t="inlineStr">
        <is>
          <t>21914606K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HERRERA HENRIQUEZ KARLA BELEN</t>
        </is>
      </c>
      <c r="C23" s="18" t="inlineStr">
        <is>
          <t>219884605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HORMAZABAL ALARCON EMILIO ANDRES</t>
        </is>
      </c>
      <c r="C24" s="18" t="inlineStr">
        <is>
          <t>201900476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HUARAPIL LUMAN MONSERRAT CONSTANZA</t>
        </is>
      </c>
      <c r="C25" s="18" t="inlineStr">
        <is>
          <t>220093018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JARA ROJAS MATIAS NICOLAS</t>
        </is>
      </c>
      <c r="C26" s="18" t="inlineStr">
        <is>
          <t>218136400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LABBE UBILLA SOLANGE DANIELA ANASTACIA</t>
        </is>
      </c>
      <c r="C27" s="18" t="inlineStr">
        <is>
          <t>218400450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LEFILAF SABJA SERGIO FELIPE</t>
        </is>
      </c>
      <c r="C28" s="18" t="inlineStr">
        <is>
          <t>219575912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MANOSALVA BOCAZ CLAUDIO BENJAMIN</t>
        </is>
      </c>
      <c r="C29" s="18" t="inlineStr">
        <is>
          <t>215570959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MARCHANT OSORIO DYLAN MICHAEL</t>
        </is>
      </c>
      <c r="C30" s="18" t="inlineStr">
        <is>
          <t>216172302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MEDINA PENA AIMON</t>
        </is>
      </c>
      <c r="C31" s="18" t="inlineStr">
        <is>
          <t>216429109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MENESES VASQUEZ BENJAMIN IGNACIO</t>
        </is>
      </c>
      <c r="C32" s="18" t="inlineStr">
        <is>
          <t>214973626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MESINA FLORES PABLO ANTONIO</t>
        </is>
      </c>
      <c r="C33" s="18" t="inlineStr">
        <is>
          <t>215028313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MUNOZ FIERRO DANTE AARON</t>
        </is>
      </c>
      <c r="C34" s="18" t="inlineStr">
        <is>
          <t>208319973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MUNOZ ULLOA CARLOS IGNACIO</t>
        </is>
      </c>
      <c r="C35" s="18" t="inlineStr">
        <is>
          <t>220727629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MUNOZ VERA GASPAR ANDRES</t>
        </is>
      </c>
      <c r="C36" s="18" t="inlineStr">
        <is>
          <t>219597916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OPAZO GARAY JUAN PABLO</t>
        </is>
      </c>
      <c r="C37" s="18" t="inlineStr">
        <is>
          <t>218983278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ORELLANA CASTRO BENJAMIN IGNACIO</t>
        </is>
      </c>
      <c r="C38" s="18" t="inlineStr">
        <is>
          <t>219655835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ORMENO DEL VALLE CATALINA BELEN</t>
        </is>
      </c>
      <c r="C39" s="18" t="inlineStr">
        <is>
          <t>221263863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ORTIZ IBARRA NICOLAS FRANCISCO</t>
        </is>
      </c>
      <c r="C40" s="18" t="inlineStr">
        <is>
          <t>21514075K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PRADENAS ITURRIAGA CARLOS IGANCIO</t>
        </is>
      </c>
      <c r="C41" s="18" t="inlineStr">
        <is>
          <t>217718546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SAEZ SEPULVEDA GIOVANNI JEREMY</t>
        </is>
      </c>
      <c r="C42" s="18" t="inlineStr">
        <is>
          <t>217025796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SALAS SALVO LUCAS ADOLFO</t>
        </is>
      </c>
      <c r="C43" s="18" t="inlineStr">
        <is>
          <t>214815591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SEGUEL JOPIA ITZEL CAUE</t>
        </is>
      </c>
      <c r="C44" s="18" t="inlineStr">
        <is>
          <t>22021530K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SEGURA NAVARRETE MARCELO IGNACIO</t>
        </is>
      </c>
      <c r="C45" s="18" t="inlineStr">
        <is>
          <t>213433008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SEPULVEDA MANCILLA JOSE IGNACIO</t>
        </is>
      </c>
      <c r="C46" s="18" t="inlineStr">
        <is>
          <t>217054583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SILVA BENAVIDES OSCAR</t>
        </is>
      </c>
      <c r="C47" s="18" t="inlineStr">
        <is>
          <t>219976941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TAPIA ANDRADE RAFAEL RICARDO</t>
        </is>
      </c>
      <c r="C48" s="18" t="inlineStr">
        <is>
          <t>21863236K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VENEGAS MORAGA JHOAN BRANDON</t>
        </is>
      </c>
      <c r="C49" s="18" t="inlineStr">
        <is>
          <t>216584929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VILCHES RUZ VICENTE ABRAHAM</t>
        </is>
      </c>
      <c r="C50" s="18" t="inlineStr">
        <is>
          <t>220523934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VILLAGRA FREDES JUAN JOSE</t>
        </is>
      </c>
      <c r="C51" s="18" t="inlineStr">
        <is>
          <t>212579092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>
      <c r="A52" s="17" t="n">
        <v>43</v>
      </c>
      <c r="B52" s="18" t="inlineStr">
        <is>
          <t>ZENTENO LLANTEN ARACELLY</t>
        </is>
      </c>
      <c r="C52" s="18" t="inlineStr">
        <is>
          <t>220795802</t>
        </is>
      </c>
      <c r="D52" s="1" t="n"/>
      <c r="E52" s="28" t="n"/>
      <c r="F52" s="19" t="n"/>
      <c r="G52" s="19" t="n"/>
      <c r="H52" s="19" t="n"/>
      <c r="I52" s="19" t="n"/>
      <c r="J52" s="19" t="n"/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  <c r="X52" s="19" t="n"/>
      <c r="Y52" s="19" t="n"/>
      <c r="Z52" s="19" t="n"/>
      <c r="AA52" s="19" t="n"/>
      <c r="AB52" s="19" t="n"/>
      <c r="AC52" s="19" t="n"/>
      <c r="AD52" s="19" t="n"/>
      <c r="AE52" s="19" t="n"/>
      <c r="AF52" s="19" t="n"/>
      <c r="AG52" s="19" t="n"/>
      <c r="AH52" s="19" t="n"/>
      <c r="AI52" s="19" t="n"/>
      <c r="AJ52" s="19" t="n"/>
      <c r="AK52" s="19" t="n"/>
      <c r="AL52" s="19" t="n"/>
      <c r="AM52" s="19" t="n"/>
      <c r="AN52" s="19" t="n"/>
      <c r="AO52" s="19" t="n"/>
      <c r="AP52" s="19" t="n"/>
      <c r="AQ52" s="19" t="n"/>
      <c r="AR52" s="19" t="n"/>
      <c r="AS52" s="19" t="n"/>
      <c r="AT52" s="19" t="n"/>
      <c r="AU52" s="19" t="n"/>
      <c r="AV52" s="19" t="n"/>
      <c r="AW52" s="19" t="n"/>
      <c r="AX52" s="19" t="n"/>
      <c r="AY52" s="19" t="n"/>
      <c r="AZ52" s="19" t="n"/>
      <c r="BA52" s="19" t="n"/>
      <c r="BB52" s="19" t="n"/>
      <c r="BC52" s="19" t="n"/>
      <c r="BD52" s="19" t="n"/>
      <c r="BE52" s="19" t="n"/>
      <c r="BF52" s="19" t="n"/>
      <c r="BG52" s="19" t="n"/>
      <c r="BH52" s="19" t="n"/>
      <c r="BI52" s="19" t="n"/>
      <c r="BJ52" s="19" t="n"/>
      <c r="BK52" s="19" t="n"/>
      <c r="BL52" s="29" t="n"/>
      <c r="BM52">
        <f>IFERROR(VLOOKUP(BM$6,Hoja1!$F$2:$XFD$61,E52+4,FALSE),0)</f>
        <v/>
      </c>
      <c r="BN52">
        <f>IFERROR(VLOOKUP(BN$6,Hoja1!$F$2:$XFD$61,F52+4,FALSE),0)</f>
        <v/>
      </c>
      <c r="BO52">
        <f>IFERROR(VLOOKUP(BO$6,Hoja1!$F$2:$XFD$61,G52+4,FALSE),0)</f>
        <v/>
      </c>
      <c r="BP52">
        <f>IFERROR(VLOOKUP(BP$6,Hoja1!$F$2:$XFD$61,H52+4,FALSE),0)</f>
        <v/>
      </c>
      <c r="BQ52">
        <f>IFERROR(VLOOKUP(BQ$6,Hoja1!$F$2:$XFD$61,I52+4,FALSE),0)</f>
        <v/>
      </c>
      <c r="BR52">
        <f>IFERROR(VLOOKUP(BR$6,Hoja1!$F$2:$XFD$61,J52+4,FALSE),0)</f>
        <v/>
      </c>
      <c r="BS52">
        <f>IFERROR(VLOOKUP(BS$6,Hoja1!$F$2:$XFD$61,K52+4,FALSE),0)</f>
        <v/>
      </c>
      <c r="BT52">
        <f>IFERROR(VLOOKUP(BT$6,Hoja1!$F$2:$XFD$61,L52+4,FALSE),0)</f>
        <v/>
      </c>
      <c r="BU52">
        <f>IFERROR(VLOOKUP(BU$6,Hoja1!$F$2:$XFD$61,M52+4,FALSE),0)</f>
        <v/>
      </c>
      <c r="BV52">
        <f>IFERROR(VLOOKUP(BV$6,Hoja1!$F$2:$XFD$61,N52+4,FALSE),0)</f>
        <v/>
      </c>
      <c r="BW52">
        <f>IFERROR(VLOOKUP(BW$6,Hoja1!$F$2:$XFD$61,O52+4,FALSE),0)</f>
        <v/>
      </c>
      <c r="BX52">
        <f>IFERROR(VLOOKUP(BX$6,Hoja1!$F$2:$XFD$61,P52+4,FALSE),0)</f>
        <v/>
      </c>
      <c r="BY52">
        <f>IFERROR(VLOOKUP(BY$6,Hoja1!$F$2:$XFD$61,Q52+4,FALSE),0)</f>
        <v/>
      </c>
      <c r="BZ52">
        <f>IFERROR(VLOOKUP(BZ$6,Hoja1!$F$2:$XFD$61,R52+4,FALSE),0)</f>
        <v/>
      </c>
      <c r="CA52">
        <f>IFERROR(VLOOKUP(CA$6,Hoja1!$F$2:$XFD$61,S52+4,FALSE),0)</f>
        <v/>
      </c>
      <c r="CB52">
        <f>IFERROR(VLOOKUP(CB$6,Hoja1!$F$2:$XFD$61,T52+4,FALSE),0)</f>
        <v/>
      </c>
      <c r="CC52">
        <f>IFERROR(VLOOKUP(CC$6,Hoja1!$F$2:$XFD$61,U52+4,FALSE),0)</f>
        <v/>
      </c>
      <c r="CD52">
        <f>IFERROR(VLOOKUP(CD$6,Hoja1!$F$2:$XFD$61,V52+4,FALSE),0)</f>
        <v/>
      </c>
      <c r="CE52">
        <f>IFERROR(VLOOKUP(CE$6,Hoja1!$F$2:$XFD$61,W52+4,FALSE),0)</f>
        <v/>
      </c>
      <c r="CF52">
        <f>IFERROR(VLOOKUP(CF$6,Hoja1!$F$2:$XFD$61,X52+4,FALSE),0)</f>
        <v/>
      </c>
      <c r="CG52">
        <f>IFERROR(VLOOKUP(CG$6,Hoja1!$F$2:$XFD$61,Y52+4,FALSE),0)</f>
        <v/>
      </c>
      <c r="CH52">
        <f>IFERROR(VLOOKUP(CH$6,Hoja1!$F$2:$XFD$61,Z52+4,FALSE),0)</f>
        <v/>
      </c>
      <c r="CI52">
        <f>IFERROR(VLOOKUP(CI$6,Hoja1!$F$2:$XFD$61,AA52+4,FALSE),0)</f>
        <v/>
      </c>
      <c r="CJ52">
        <f>IFERROR(VLOOKUP(CJ$6,Hoja1!$F$2:$XFD$61,AB52+4,FALSE),0)</f>
        <v/>
      </c>
      <c r="CK52">
        <f>IFERROR(VLOOKUP(CK$6,Hoja1!$F$2:$XFD$61,AC52+4,FALSE),0)</f>
        <v/>
      </c>
      <c r="CL52">
        <f>IFERROR(VLOOKUP(CL$6,Hoja1!$F$2:$XFD$61,AD52+4,FALSE),0)</f>
        <v/>
      </c>
      <c r="CM52">
        <f>IFERROR(VLOOKUP(CM$6,Hoja1!$F$2:$XFD$61,AE52+4,FALSE),0)</f>
        <v/>
      </c>
      <c r="CN52">
        <f>IFERROR(VLOOKUP(CN$6,Hoja1!$F$2:$XFD$61,AF52+4,FALSE),0)</f>
        <v/>
      </c>
      <c r="CO52">
        <f>IFERROR(VLOOKUP(CO$6,Hoja1!$F$2:$XFD$61,AG52+4,FALSE),0)</f>
        <v/>
      </c>
      <c r="CP52">
        <f>IFERROR(VLOOKUP(CP$6,Hoja1!$F$2:$XFD$61,AH52+4,FALSE),0)</f>
        <v/>
      </c>
      <c r="CQ52">
        <f>IFERROR(VLOOKUP(CQ$6,Hoja1!$F$2:$XFD$61,AI52+4,FALSE),0)</f>
        <v/>
      </c>
      <c r="CR52">
        <f>IFERROR(VLOOKUP(CR$6,Hoja1!$F$2:$XFD$61,AJ52+4,FALSE),0)</f>
        <v/>
      </c>
      <c r="CS52">
        <f>IFERROR(VLOOKUP(CS$6,Hoja1!$F$2:$XFD$61,AK52+4,FALSE),0)</f>
        <v/>
      </c>
      <c r="CT52">
        <f>IFERROR(VLOOKUP(CT$6,Hoja1!$F$2:$XFD$61,AL52+4,FALSE),0)</f>
        <v/>
      </c>
      <c r="CU52">
        <f>IFERROR(VLOOKUP(CU$6,Hoja1!$F$2:$XFD$61,AM52+4,FALSE),0)</f>
        <v/>
      </c>
      <c r="CV52">
        <f>IFERROR(VLOOKUP(CV$6,Hoja1!$F$2:$XFD$61,AN52+4,FALSE),0)</f>
        <v/>
      </c>
      <c r="CW52">
        <f>IFERROR(VLOOKUP(CW$6,Hoja1!$F$2:$XFD$61,AO52+4,FALSE),0)</f>
        <v/>
      </c>
      <c r="CX52">
        <f>IFERROR(VLOOKUP(CX$6,Hoja1!$F$2:$XFD$61,AP52+4,FALSE),0)</f>
        <v/>
      </c>
      <c r="CY52">
        <f>IFERROR(VLOOKUP(CY$6,Hoja1!$F$2:$XFD$61,AQ52+4,FALSE),0)</f>
        <v/>
      </c>
      <c r="CZ52">
        <f>IFERROR(VLOOKUP(CZ$6,Hoja1!$F$2:$XFD$61,AR52+4,FALSE),0)</f>
        <v/>
      </c>
      <c r="DA52">
        <f>IFERROR(VLOOKUP(DA$6,Hoja1!$F$2:$XFD$61,AS52+4,FALSE),0)</f>
        <v/>
      </c>
      <c r="DB52">
        <f>IFERROR(VLOOKUP(DB$6,Hoja1!$F$2:$XFD$61,AT52+4,FALSE),0)</f>
        <v/>
      </c>
      <c r="DC52">
        <f>IFERROR(VLOOKUP(DC$6,Hoja1!$F$2:$XFD$61,AU52+4,FALSE),0)</f>
        <v/>
      </c>
      <c r="DD52">
        <f>IFERROR(VLOOKUP(DD$6,Hoja1!$F$2:$XFD$61,AV52+4,FALSE),0)</f>
        <v/>
      </c>
      <c r="DE52">
        <f>IFERROR(VLOOKUP(DE$6,Hoja1!$F$2:$XFD$61,AW52+4,FALSE),0)</f>
        <v/>
      </c>
      <c r="DF52">
        <f>IFERROR(VLOOKUP(DF$6,Hoja1!$F$2:$XFD$61,AX52+4,FALSE),0)</f>
        <v/>
      </c>
      <c r="DG52">
        <f>IFERROR(VLOOKUP(DG$6,Hoja1!$F$2:$XFD$61,AY52+4,FALSE),0)</f>
        <v/>
      </c>
      <c r="DH52">
        <f>IFERROR(VLOOKUP(DH$6,Hoja1!$F$2:$XFD$61,AZ52+4,FALSE),0)</f>
        <v/>
      </c>
      <c r="DI52">
        <f>IFERROR(VLOOKUP(DI$6,Hoja1!$F$2:$XFD$61,BA52+4,FALSE),0)</f>
        <v/>
      </c>
      <c r="DJ52">
        <f>IFERROR(VLOOKUP(DJ$6,Hoja1!$F$2:$XFD$61,BB52+4,FALSE),0)</f>
        <v/>
      </c>
      <c r="DK52">
        <f>IFERROR(VLOOKUP(DK$6,Hoja1!$F$2:$XFD$61,BC52+4,FALSE),0)</f>
        <v/>
      </c>
      <c r="DL52">
        <f>IFERROR(VLOOKUP(DL$6,Hoja1!$F$2:$XFD$61,BD52+4,FALSE),0)</f>
        <v/>
      </c>
      <c r="DM52">
        <f>IFERROR(VLOOKUP(DM$6,Hoja1!$F$2:$XFD$61,BE52+4,FALSE),0)</f>
        <v/>
      </c>
      <c r="DN52">
        <f>IFERROR(VLOOKUP(DN$6,Hoja1!$F$2:$XFD$61,BF52+4,FALSE),0)</f>
        <v/>
      </c>
      <c r="DO52">
        <f>IFERROR(VLOOKUP(DO$6,Hoja1!$F$2:$XFD$61,BG52+4,FALSE),0)</f>
        <v/>
      </c>
      <c r="DP52">
        <f>IFERROR(VLOOKUP(DP$6,Hoja1!$F$2:$XFD$61,BH52+4,FALSE),0)</f>
        <v/>
      </c>
      <c r="DQ52">
        <f>IFERROR(VLOOKUP(DQ$6,Hoja1!$F$2:$XFD$61,BI52+4,FALSE),0)</f>
        <v/>
      </c>
      <c r="DR52">
        <f>IFERROR(VLOOKUP(DR$6,Hoja1!$F$2:$XFD$61,BJ52+4,FALSE),0)</f>
        <v/>
      </c>
      <c r="DS52">
        <f>IFERROR(VLOOKUP(DS$6,Hoja1!$F$2:$XFD$61,BK52+4,FALSE),0)</f>
        <v/>
      </c>
      <c r="DT52">
        <f>IFERROR(VLOOKUP(DT$6,Hoja1!$F$2:$XFD$61,BL52+4,FALSE),0)</f>
        <v/>
      </c>
      <c r="DU52" s="15">
        <f>IF(COUNT(E52:BL52)=$DV$7,IF(D52="","indique grupo",SUM(BM52:DT52)),"")</f>
        <v/>
      </c>
      <c r="DV52" s="16">
        <f>IF(D52&lt;&gt;"",IF(DU52="","",IF(DU52&gt;=$DU$7*Hoja1!$E$2,4+3/($DU$7*(1-Hoja1!$E$2))*(DU52-$DU$7*Hoja1!$E$2),1+3/($DU$7*Hoja1!$E$2)*DU52)),DU52)</f>
        <v/>
      </c>
      <c r="DW52" s="47" t="b">
        <v>0</v>
      </c>
    </row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2024-05-03T14:11:16Z</dcterms:modified>
  <cp:lastModifiedBy>Leandro Gutierrez A.</cp:lastModifiedBy>
  <cp:lastPrinted>2012-11-30T22:55:58Z</cp:lastPrinted>
</cp:coreProperties>
</file>