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BRAVO SERGIO ANDRES</t>
        </is>
      </c>
      <c r="C10" s="14" t="inlineStr">
        <is>
          <t>163807106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MIRANDA CRISTOBAL ALEJANDRO</t>
        </is>
      </c>
      <c r="C11" s="18" t="inlineStr">
        <is>
          <t>214562898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AREVALO ANA</t>
        </is>
      </c>
      <c r="C12" s="14" t="inlineStr">
        <is>
          <t>206462205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BURGOS SILVA MADELAINE FRANCESCA</t>
        </is>
      </c>
      <c r="C13" s="18" t="inlineStr">
        <is>
          <t>188796729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RODRIGUEZ NICOLAS FABIAN</t>
        </is>
      </c>
      <c r="C14" s="14" t="inlineStr">
        <is>
          <t>217185564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ROJAS RODRIGO ANDRES</t>
        </is>
      </c>
      <c r="C15" s="14" t="inlineStr">
        <is>
          <t>183656376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LIRA CRISTINA SOLEDAD</t>
        </is>
      </c>
      <c r="C16" s="18" t="inlineStr">
        <is>
          <t>161482617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FUENTES DAMIAN MISAEL ALBERT</t>
        </is>
      </c>
      <c r="C17" s="14" t="inlineStr">
        <is>
          <t>214106132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CIFUENTES FIGUEROA FABIOLA ANDREA</t>
        </is>
      </c>
      <c r="C18" s="14" t="inlineStr">
        <is>
          <t>134871164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FAUNDES JURGEN ARON</t>
        </is>
      </c>
      <c r="C19" s="18" t="inlineStr">
        <is>
          <t>201512360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FLORES CRISTIAN ALEJANDRO</t>
        </is>
      </c>
      <c r="C20" s="18" t="inlineStr">
        <is>
          <t>154545174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CRUCES CRUCES JIMMY CARLOS ANDRES</t>
        </is>
      </c>
      <c r="C21" s="18" t="inlineStr">
        <is>
          <t>193169198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GONZALEZ EFRAN ANDRES</t>
        </is>
      </c>
      <c r="C22" s="18" t="inlineStr">
        <is>
          <t>166037433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FERNANDEZ VARGAS ESTEBAN NICOLAS</t>
        </is>
      </c>
      <c r="C23" s="18" t="inlineStr">
        <is>
          <t>187947561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VEGA GUSTAVO ANDRES</t>
        </is>
      </c>
      <c r="C24" s="18" t="inlineStr">
        <is>
          <t>145964067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VALVERDE SEBASTIAN ANDRES</t>
        </is>
      </c>
      <c r="C25" s="18" t="inlineStr">
        <is>
          <t>220528898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GALVEZ LIZAMA DEIVITH EMERSON</t>
        </is>
      </c>
      <c r="C26" s="18" t="inlineStr">
        <is>
          <t>21811315K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GOMEZ TORRES BRAULIO</t>
        </is>
      </c>
      <c r="C27" s="18" t="inlineStr">
        <is>
          <t>20815351K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LOYOLA JUAN PABLO</t>
        </is>
      </c>
      <c r="C28" s="18" t="inlineStr">
        <is>
          <t>139305035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HENRIQUEZ GAJARDO RENATO</t>
        </is>
      </c>
      <c r="C29" s="18" t="inlineStr">
        <is>
          <t>216917278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GUTIERREZ DAVIS FABIAN</t>
        </is>
      </c>
      <c r="C30" s="18" t="inlineStr">
        <is>
          <t>178707868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HERNANDEZ MARCHANT ARIEL ANDRES</t>
        </is>
      </c>
      <c r="C31" s="18" t="inlineStr">
        <is>
          <t>173773102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HIDALGO BARRIENTOS JOSE IGNACIO</t>
        </is>
      </c>
      <c r="C32" s="18" t="inlineStr">
        <is>
          <t>197794836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INOSTROZA BUSTOS SERGIO FAUSTINO</t>
        </is>
      </c>
      <c r="C33" s="18" t="inlineStr">
        <is>
          <t>113625759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JEREZ CASTRO ROSEMARY</t>
        </is>
      </c>
      <c r="C34" s="18" t="inlineStr">
        <is>
          <t>172442455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JERMAN PORMA LUCAS BENJAMIN</t>
        </is>
      </c>
      <c r="C35" s="18" t="inlineStr">
        <is>
          <t>217116023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LEAL FERNANDEZ DIEGO NICOLAS</t>
        </is>
      </c>
      <c r="C36" s="18" t="inlineStr">
        <is>
          <t>178524844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LIZANA SALAS GABRIEL ERNESTO</t>
        </is>
      </c>
      <c r="C37" s="18" t="inlineStr">
        <is>
          <t>19683446K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MADRID ROA FRANCISCO MATIAS</t>
        </is>
      </c>
      <c r="C38" s="18" t="inlineStr">
        <is>
          <t>215777499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MONTOYA MOYA IAN IGNACIO</t>
        </is>
      </c>
      <c r="C39" s="18" t="inlineStr">
        <is>
          <t>197035269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MORON CABALLERO JOSE CARLOS</t>
        </is>
      </c>
      <c r="C40" s="18" t="inlineStr">
        <is>
          <t>235602865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ONATE HERRRERA ALBERTO PABLO</t>
        </is>
      </c>
      <c r="C41" s="18" t="inlineStr">
        <is>
          <t>170016254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OVIEDO SAN MARTIN NICOLAS IGNACIO</t>
        </is>
      </c>
      <c r="C42" s="18" t="inlineStr">
        <is>
          <t>19571343K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PARDO FIGUEROA MERCADO LUIS EDUARDO</t>
        </is>
      </c>
      <c r="C43" s="18" t="inlineStr">
        <is>
          <t>282568764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PEREIRA ANGLA BENJAMIN NICOLAS</t>
        </is>
      </c>
      <c r="C44" s="18" t="inlineStr">
        <is>
          <t>177814172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PEREZ VILLABLANCA JAVIERA IGNACIA</t>
        </is>
      </c>
      <c r="C45" s="18" t="inlineStr">
        <is>
          <t>217246318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QUINTANILLA LILLO JAVIER IGNACIO</t>
        </is>
      </c>
      <c r="C46" s="18" t="inlineStr">
        <is>
          <t>199569449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ROBLES ROSALES ALEJANDRO ANDRES</t>
        </is>
      </c>
      <c r="C47" s="18" t="inlineStr">
        <is>
          <t>175653910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SANCHEZ MORAN JUAN SEBASTIAN</t>
        </is>
      </c>
      <c r="C48" s="18" t="inlineStr">
        <is>
          <t>202814182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SANTANA SALFATE BYRON JACOB</t>
        </is>
      </c>
      <c r="C49" s="18" t="inlineStr">
        <is>
          <t>195016968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SEPULVEDA REYES FELIPE ANDRES</t>
        </is>
      </c>
      <c r="C50" s="18" t="inlineStr">
        <is>
          <t>186230027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TAPIA DALENS MARIO ALEJANDRO</t>
        </is>
      </c>
      <c r="C51" s="18" t="inlineStr">
        <is>
          <t>205265333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VALLADE FERNANDEZ JUANA YAILEEN</t>
        </is>
      </c>
      <c r="C52" s="18" t="inlineStr">
        <is>
          <t>21819625K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VARGAS JABALQUINTO GUSTAVO ORLANDO</t>
        </is>
      </c>
      <c r="C53" s="18" t="inlineStr">
        <is>
          <t>212372412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VELASQUEZ TORRES XAVIER IGNACIO</t>
        </is>
      </c>
      <c r="C54" s="18" t="inlineStr">
        <is>
          <t>193820212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>
      <c r="A55" s="17" t="n">
        <v>46</v>
      </c>
      <c r="B55" s="18" t="inlineStr">
        <is>
          <t>VERA ARAYA YEROVICK IGNACIO</t>
        </is>
      </c>
      <c r="C55" s="18" t="inlineStr">
        <is>
          <t>207928402</t>
        </is>
      </c>
      <c r="D55" s="1" t="n"/>
      <c r="E55" s="28" t="n"/>
      <c r="F55" s="19" t="n"/>
      <c r="G55" s="19" t="n"/>
      <c r="H55" s="19" t="n"/>
      <c r="I55" s="19" t="n"/>
      <c r="J55" s="19" t="n"/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  <c r="X55" s="19" t="n"/>
      <c r="Y55" s="19" t="n"/>
      <c r="Z55" s="19" t="n"/>
      <c r="AA55" s="19" t="n"/>
      <c r="AB55" s="19" t="n"/>
      <c r="AC55" s="19" t="n"/>
      <c r="AD55" s="19" t="n"/>
      <c r="AE55" s="19" t="n"/>
      <c r="AF55" s="19" t="n"/>
      <c r="AG55" s="19" t="n"/>
      <c r="AH55" s="19" t="n"/>
      <c r="AI55" s="19" t="n"/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29" t="n"/>
      <c r="BM55">
        <f>IFERROR(VLOOKUP(BM$6,Hoja1!$F$2:$XFD$61,E55+4,FALSE),0)</f>
        <v/>
      </c>
      <c r="BN55">
        <f>IFERROR(VLOOKUP(BN$6,Hoja1!$F$2:$XFD$61,F55+4,FALSE),0)</f>
        <v/>
      </c>
      <c r="BO55">
        <f>IFERROR(VLOOKUP(BO$6,Hoja1!$F$2:$XFD$61,G55+4,FALSE),0)</f>
        <v/>
      </c>
      <c r="BP55">
        <f>IFERROR(VLOOKUP(BP$6,Hoja1!$F$2:$XFD$61,H55+4,FALSE),0)</f>
        <v/>
      </c>
      <c r="BQ55">
        <f>IFERROR(VLOOKUP(BQ$6,Hoja1!$F$2:$XFD$61,I55+4,FALSE),0)</f>
        <v/>
      </c>
      <c r="BR55">
        <f>IFERROR(VLOOKUP(BR$6,Hoja1!$F$2:$XFD$61,J55+4,FALSE),0)</f>
        <v/>
      </c>
      <c r="BS55">
        <f>IFERROR(VLOOKUP(BS$6,Hoja1!$F$2:$XFD$61,K55+4,FALSE),0)</f>
        <v/>
      </c>
      <c r="BT55">
        <f>IFERROR(VLOOKUP(BT$6,Hoja1!$F$2:$XFD$61,L55+4,FALSE),0)</f>
        <v/>
      </c>
      <c r="BU55">
        <f>IFERROR(VLOOKUP(BU$6,Hoja1!$F$2:$XFD$61,M55+4,FALSE),0)</f>
        <v/>
      </c>
      <c r="BV55">
        <f>IFERROR(VLOOKUP(BV$6,Hoja1!$F$2:$XFD$61,N55+4,FALSE),0)</f>
        <v/>
      </c>
      <c r="BW55">
        <f>IFERROR(VLOOKUP(BW$6,Hoja1!$F$2:$XFD$61,O55+4,FALSE),0)</f>
        <v/>
      </c>
      <c r="BX55">
        <f>IFERROR(VLOOKUP(BX$6,Hoja1!$F$2:$XFD$61,P55+4,FALSE),0)</f>
        <v/>
      </c>
      <c r="BY55">
        <f>IFERROR(VLOOKUP(BY$6,Hoja1!$F$2:$XFD$61,Q55+4,FALSE),0)</f>
        <v/>
      </c>
      <c r="BZ55">
        <f>IFERROR(VLOOKUP(BZ$6,Hoja1!$F$2:$XFD$61,R55+4,FALSE),0)</f>
        <v/>
      </c>
      <c r="CA55">
        <f>IFERROR(VLOOKUP(CA$6,Hoja1!$F$2:$XFD$61,S55+4,FALSE),0)</f>
        <v/>
      </c>
      <c r="CB55">
        <f>IFERROR(VLOOKUP(CB$6,Hoja1!$F$2:$XFD$61,T55+4,FALSE),0)</f>
        <v/>
      </c>
      <c r="CC55">
        <f>IFERROR(VLOOKUP(CC$6,Hoja1!$F$2:$XFD$61,U55+4,FALSE),0)</f>
        <v/>
      </c>
      <c r="CD55">
        <f>IFERROR(VLOOKUP(CD$6,Hoja1!$F$2:$XFD$61,V55+4,FALSE),0)</f>
        <v/>
      </c>
      <c r="CE55">
        <f>IFERROR(VLOOKUP(CE$6,Hoja1!$F$2:$XFD$61,W55+4,FALSE),0)</f>
        <v/>
      </c>
      <c r="CF55">
        <f>IFERROR(VLOOKUP(CF$6,Hoja1!$F$2:$XFD$61,X55+4,FALSE),0)</f>
        <v/>
      </c>
      <c r="CG55">
        <f>IFERROR(VLOOKUP(CG$6,Hoja1!$F$2:$XFD$61,Y55+4,FALSE),0)</f>
        <v/>
      </c>
      <c r="CH55">
        <f>IFERROR(VLOOKUP(CH$6,Hoja1!$F$2:$XFD$61,Z55+4,FALSE),0)</f>
        <v/>
      </c>
      <c r="CI55">
        <f>IFERROR(VLOOKUP(CI$6,Hoja1!$F$2:$XFD$61,AA55+4,FALSE),0)</f>
        <v/>
      </c>
      <c r="CJ55">
        <f>IFERROR(VLOOKUP(CJ$6,Hoja1!$F$2:$XFD$61,AB55+4,FALSE),0)</f>
        <v/>
      </c>
      <c r="CK55">
        <f>IFERROR(VLOOKUP(CK$6,Hoja1!$F$2:$XFD$61,AC55+4,FALSE),0)</f>
        <v/>
      </c>
      <c r="CL55">
        <f>IFERROR(VLOOKUP(CL$6,Hoja1!$F$2:$XFD$61,AD55+4,FALSE),0)</f>
        <v/>
      </c>
      <c r="CM55">
        <f>IFERROR(VLOOKUP(CM$6,Hoja1!$F$2:$XFD$61,AE55+4,FALSE),0)</f>
        <v/>
      </c>
      <c r="CN55">
        <f>IFERROR(VLOOKUP(CN$6,Hoja1!$F$2:$XFD$61,AF55+4,FALSE),0)</f>
        <v/>
      </c>
      <c r="CO55">
        <f>IFERROR(VLOOKUP(CO$6,Hoja1!$F$2:$XFD$61,AG55+4,FALSE),0)</f>
        <v/>
      </c>
      <c r="CP55">
        <f>IFERROR(VLOOKUP(CP$6,Hoja1!$F$2:$XFD$61,AH55+4,FALSE),0)</f>
        <v/>
      </c>
      <c r="CQ55">
        <f>IFERROR(VLOOKUP(CQ$6,Hoja1!$F$2:$XFD$61,AI55+4,FALSE),0)</f>
        <v/>
      </c>
      <c r="CR55">
        <f>IFERROR(VLOOKUP(CR$6,Hoja1!$F$2:$XFD$61,AJ55+4,FALSE),0)</f>
        <v/>
      </c>
      <c r="CS55">
        <f>IFERROR(VLOOKUP(CS$6,Hoja1!$F$2:$XFD$61,AK55+4,FALSE),0)</f>
        <v/>
      </c>
      <c r="CT55">
        <f>IFERROR(VLOOKUP(CT$6,Hoja1!$F$2:$XFD$61,AL55+4,FALSE),0)</f>
        <v/>
      </c>
      <c r="CU55">
        <f>IFERROR(VLOOKUP(CU$6,Hoja1!$F$2:$XFD$61,AM55+4,FALSE),0)</f>
        <v/>
      </c>
      <c r="CV55">
        <f>IFERROR(VLOOKUP(CV$6,Hoja1!$F$2:$XFD$61,AN55+4,FALSE),0)</f>
        <v/>
      </c>
      <c r="CW55">
        <f>IFERROR(VLOOKUP(CW$6,Hoja1!$F$2:$XFD$61,AO55+4,FALSE),0)</f>
        <v/>
      </c>
      <c r="CX55">
        <f>IFERROR(VLOOKUP(CX$6,Hoja1!$F$2:$XFD$61,AP55+4,FALSE),0)</f>
        <v/>
      </c>
      <c r="CY55">
        <f>IFERROR(VLOOKUP(CY$6,Hoja1!$F$2:$XFD$61,AQ55+4,FALSE),0)</f>
        <v/>
      </c>
      <c r="CZ55">
        <f>IFERROR(VLOOKUP(CZ$6,Hoja1!$F$2:$XFD$61,AR55+4,FALSE),0)</f>
        <v/>
      </c>
      <c r="DA55">
        <f>IFERROR(VLOOKUP(DA$6,Hoja1!$F$2:$XFD$61,AS55+4,FALSE),0)</f>
        <v/>
      </c>
      <c r="DB55">
        <f>IFERROR(VLOOKUP(DB$6,Hoja1!$F$2:$XFD$61,AT55+4,FALSE),0)</f>
        <v/>
      </c>
      <c r="DC55">
        <f>IFERROR(VLOOKUP(DC$6,Hoja1!$F$2:$XFD$61,AU55+4,FALSE),0)</f>
        <v/>
      </c>
      <c r="DD55">
        <f>IFERROR(VLOOKUP(DD$6,Hoja1!$F$2:$XFD$61,AV55+4,FALSE),0)</f>
        <v/>
      </c>
      <c r="DE55">
        <f>IFERROR(VLOOKUP(DE$6,Hoja1!$F$2:$XFD$61,AW55+4,FALSE),0)</f>
        <v/>
      </c>
      <c r="DF55">
        <f>IFERROR(VLOOKUP(DF$6,Hoja1!$F$2:$XFD$61,AX55+4,FALSE),0)</f>
        <v/>
      </c>
      <c r="DG55">
        <f>IFERROR(VLOOKUP(DG$6,Hoja1!$F$2:$XFD$61,AY55+4,FALSE),0)</f>
        <v/>
      </c>
      <c r="DH55">
        <f>IFERROR(VLOOKUP(DH$6,Hoja1!$F$2:$XFD$61,AZ55+4,FALSE),0)</f>
        <v/>
      </c>
      <c r="DI55">
        <f>IFERROR(VLOOKUP(DI$6,Hoja1!$F$2:$XFD$61,BA55+4,FALSE),0)</f>
        <v/>
      </c>
      <c r="DJ55">
        <f>IFERROR(VLOOKUP(DJ$6,Hoja1!$F$2:$XFD$61,BB55+4,FALSE),0)</f>
        <v/>
      </c>
      <c r="DK55">
        <f>IFERROR(VLOOKUP(DK$6,Hoja1!$F$2:$XFD$61,BC55+4,FALSE),0)</f>
        <v/>
      </c>
      <c r="DL55">
        <f>IFERROR(VLOOKUP(DL$6,Hoja1!$F$2:$XFD$61,BD55+4,FALSE),0)</f>
        <v/>
      </c>
      <c r="DM55">
        <f>IFERROR(VLOOKUP(DM$6,Hoja1!$F$2:$XFD$61,BE55+4,FALSE),0)</f>
        <v/>
      </c>
      <c r="DN55">
        <f>IFERROR(VLOOKUP(DN$6,Hoja1!$F$2:$XFD$61,BF55+4,FALSE),0)</f>
        <v/>
      </c>
      <c r="DO55">
        <f>IFERROR(VLOOKUP(DO$6,Hoja1!$F$2:$XFD$61,BG55+4,FALSE),0)</f>
        <v/>
      </c>
      <c r="DP55">
        <f>IFERROR(VLOOKUP(DP$6,Hoja1!$F$2:$XFD$61,BH55+4,FALSE),0)</f>
        <v/>
      </c>
      <c r="DQ55">
        <f>IFERROR(VLOOKUP(DQ$6,Hoja1!$F$2:$XFD$61,BI55+4,FALSE),0)</f>
        <v/>
      </c>
      <c r="DR55">
        <f>IFERROR(VLOOKUP(DR$6,Hoja1!$F$2:$XFD$61,BJ55+4,FALSE),0)</f>
        <v/>
      </c>
      <c r="DS55">
        <f>IFERROR(VLOOKUP(DS$6,Hoja1!$F$2:$XFD$61,BK55+4,FALSE),0)</f>
        <v/>
      </c>
      <c r="DT55">
        <f>IFERROR(VLOOKUP(DT$6,Hoja1!$F$2:$XFD$61,BL55+4,FALSE),0)</f>
        <v/>
      </c>
      <c r="DU55" s="15">
        <f>IF(COUNT(E55:BL55)=$DV$7,IF(D55="","indique grupo",SUM(BM55:DT55)),"")</f>
        <v/>
      </c>
      <c r="DV55" s="16">
        <f>IF(D55&lt;&gt;"",IF(DU55="","",IF(DU55&gt;=$DU$7*Hoja1!$E$2,4+3/($DU$7*(1-Hoja1!$E$2))*(DU55-$DU$7*Hoja1!$E$2),1+3/($DU$7*Hoja1!$E$2)*DU55)),DU55)</f>
        <v/>
      </c>
      <c r="DW55" s="47" t="b">
        <v>0</v>
      </c>
    </row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2024-05-03T14:13:34Z</dcterms:modified>
  <cp:lastModifiedBy>Leandro Gutierrez A.</cp:lastModifiedBy>
  <cp:lastPrinted>2012-11-30T22:55:58Z</cp:lastPrinted>
</cp:coreProperties>
</file>