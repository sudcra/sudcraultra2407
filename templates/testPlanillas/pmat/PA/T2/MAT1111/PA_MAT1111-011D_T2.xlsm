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AGUIRRE SOLIS BRANDON NICOLAE LUIS</t>
        </is>
      </c>
      <c r="C10" s="14" t="inlineStr">
        <is>
          <t>206685220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AHUMADA PINOCHET RACHEL BELEN</t>
        </is>
      </c>
      <c r="C11" s="18" t="inlineStr">
        <is>
          <t>220616754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ALFARO ARCE BASTIAN</t>
        </is>
      </c>
      <c r="C12" s="14" t="inlineStr">
        <is>
          <t>216188624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ALVEAL COFRE NICOLE YUYUNIZ</t>
        </is>
      </c>
      <c r="C13" s="18" t="inlineStr">
        <is>
          <t>210032355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AMPUERO PAZ MATIAS</t>
        </is>
      </c>
      <c r="C14" s="14" t="inlineStr">
        <is>
          <t>220458962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ARANDA CARDENAS CATALINA PAZ</t>
        </is>
      </c>
      <c r="C15" s="14" t="inlineStr">
        <is>
          <t>20456678K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ARRIAGADA GOMEZ NICOLAS ANTONIO</t>
        </is>
      </c>
      <c r="C16" s="18" t="inlineStr">
        <is>
          <t>18480784K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BERRIOS VALENZUELA JORGE ANTONIO</t>
        </is>
      </c>
      <c r="C17" s="14" t="inlineStr">
        <is>
          <t>219678851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CRUZ MUNOZ RICARDO ARIEL</t>
        </is>
      </c>
      <c r="C18" s="14" t="inlineStr">
        <is>
          <t>204734615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CHAVEZ JESUS ISRAEL</t>
        </is>
      </c>
      <c r="C19" s="18" t="inlineStr">
        <is>
          <t>214331012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DURAN ASTUDILLO KRISTOPHER</t>
        </is>
      </c>
      <c r="C20" s="18" t="inlineStr">
        <is>
          <t>205586776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FILUN CABRERA OMAR EXEQUIEL</t>
        </is>
      </c>
      <c r="C21" s="18" t="inlineStr">
        <is>
          <t>219477910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FLORES MEZA NICOLAS IGNACIO</t>
        </is>
      </c>
      <c r="C22" s="18" t="inlineStr">
        <is>
          <t>218360769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GARRIDO ANTILEO TOMAS</t>
        </is>
      </c>
      <c r="C23" s="18" t="inlineStr">
        <is>
          <t>212899666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HENRIQUEZ ARANEDA VICTOR ALFONSO DE JESUS</t>
        </is>
      </c>
      <c r="C24" s="18" t="inlineStr">
        <is>
          <t>207491616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HERRERA PEREZ FRANCISCA CAROLINA</t>
        </is>
      </c>
      <c r="C25" s="18" t="inlineStr">
        <is>
          <t>212333042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JELDRES MARQUEZ YEISON ALFREDO</t>
        </is>
      </c>
      <c r="C26" s="18" t="inlineStr">
        <is>
          <t>219495730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JEREZ DONOSO CRISTOBAL MARCELO</t>
        </is>
      </c>
      <c r="C27" s="18" t="inlineStr">
        <is>
          <t>216189604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JUENGT HERRERA OLOV IAN</t>
        </is>
      </c>
      <c r="C28" s="18" t="inlineStr">
        <is>
          <t>208067079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LAVIN LOYOLA NICOLAS</t>
        </is>
      </c>
      <c r="C29" s="18" t="inlineStr">
        <is>
          <t>204646996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MANRIQUEZ CREIXELL JOSE IGNACIO</t>
        </is>
      </c>
      <c r="C30" s="18" t="inlineStr">
        <is>
          <t>219985371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MARDONES ARAYA SEBASTIAN IGNACIO</t>
        </is>
      </c>
      <c r="C31" s="18" t="inlineStr">
        <is>
          <t>204529590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MEZA MATELUNA MARIO ANDRES</t>
        </is>
      </c>
      <c r="C32" s="18" t="inlineStr">
        <is>
          <t>20048021K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MORA FIGUEROA IGNACIO ANTONIO</t>
        </is>
      </c>
      <c r="C33" s="18" t="inlineStr">
        <is>
          <t>215748898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MOYA CHAMORRO RODRIGO ALBERTO</t>
        </is>
      </c>
      <c r="C34" s="18" t="inlineStr">
        <is>
          <t>204653119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NUNEZ LARRAIN LUCAS ANTONIO</t>
        </is>
      </c>
      <c r="C35" s="18" t="inlineStr">
        <is>
          <t>217434513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NUNEZ ROJAS LEANDRO KEVIN</t>
        </is>
      </c>
      <c r="C36" s="18" t="inlineStr">
        <is>
          <t>186746201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PALMA SANDOVAL CESAR FELIPE</t>
        </is>
      </c>
      <c r="C37" s="18" t="inlineStr">
        <is>
          <t>201889294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PALMA VEGA ANTONIA DE LOURDES</t>
        </is>
      </c>
      <c r="C38" s="18" t="inlineStr">
        <is>
          <t>220101991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PEREZ BARRIOS EDUARDO ANDRES</t>
        </is>
      </c>
      <c r="C39" s="18" t="inlineStr">
        <is>
          <t>198444219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RIVAS INZUNZA NAYARET DE LOURDES</t>
        </is>
      </c>
      <c r="C40" s="18" t="inlineStr">
        <is>
          <t>187367697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RIVERA RODRIGUEZ ZAHID PATRICIO</t>
        </is>
      </c>
      <c r="C41" s="18" t="inlineStr">
        <is>
          <t>206487097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ROBLERO BRIONES CAMILO ANDRES</t>
        </is>
      </c>
      <c r="C42" s="18" t="inlineStr">
        <is>
          <t>212409634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SANHUEZA RAMÍREZ FABIÁN ALEXANDER ANTONIO</t>
        </is>
      </c>
      <c r="C43" s="18" t="inlineStr">
        <is>
          <t>213415573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SANTANDER LEAL SEBASTIAN  IGNACIO</t>
        </is>
      </c>
      <c r="C44" s="18" t="inlineStr">
        <is>
          <t>203890370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SEPULVEDA GONZALEZ FERNANDO GUILLERMO</t>
        </is>
      </c>
      <c r="C45" s="18" t="inlineStr">
        <is>
          <t>223958745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SOTO MUNOZ GONZALO IGNACIO</t>
        </is>
      </c>
      <c r="C46" s="18" t="inlineStr">
        <is>
          <t>218478778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VALENZUELA FICA HECTOR BRUNO</t>
        </is>
      </c>
      <c r="C47" s="18" t="inlineStr">
        <is>
          <t>200516494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VARELA PLAZA LEANDRO CAMILO</t>
        </is>
      </c>
      <c r="C48" s="18" t="inlineStr">
        <is>
          <t>200472896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VARGAS FUENTES ANDRES ISAIAS</t>
        </is>
      </c>
      <c r="C49" s="18" t="inlineStr">
        <is>
          <t>204549451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VASQUEZ MELLADO JOAQUIN</t>
        </is>
      </c>
      <c r="C50" s="18" t="inlineStr">
        <is>
          <t>217901626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VERGARA HURTADO KEVIN ALEXANDER</t>
        </is>
      </c>
      <c r="C51" s="18" t="inlineStr">
        <is>
          <t>192206804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ZAPATA HERRERA NICOLAS BENJAMIN</t>
        </is>
      </c>
      <c r="C52" s="18" t="inlineStr">
        <is>
          <t>21693802K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>
      <c r="A53" s="17" t="n">
        <v>44</v>
      </c>
      <c r="B53" s="18" t="inlineStr">
        <is>
          <t>ZARATE MUNOZ CRISTOBAL IGNACIO</t>
        </is>
      </c>
      <c r="C53" s="18" t="inlineStr">
        <is>
          <t>201587778</t>
        </is>
      </c>
      <c r="D53" s="1" t="n"/>
      <c r="E53" s="28" t="n"/>
      <c r="F53" s="19" t="n"/>
      <c r="G53" s="19" t="n"/>
      <c r="H53" s="19" t="n"/>
      <c r="I53" s="19" t="n"/>
      <c r="J53" s="19" t="n"/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  <c r="X53" s="19" t="n"/>
      <c r="Y53" s="19" t="n"/>
      <c r="Z53" s="19" t="n"/>
      <c r="AA53" s="19" t="n"/>
      <c r="AB53" s="19" t="n"/>
      <c r="AC53" s="19" t="n"/>
      <c r="AD53" s="19" t="n"/>
      <c r="AE53" s="19" t="n"/>
      <c r="AF53" s="19" t="n"/>
      <c r="AG53" s="19" t="n"/>
      <c r="AH53" s="19" t="n"/>
      <c r="AI53" s="19" t="n"/>
      <c r="AJ53" s="19" t="n"/>
      <c r="AK53" s="19" t="n"/>
      <c r="AL53" s="19" t="n"/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/>
      <c r="BG53" s="19" t="n"/>
      <c r="BH53" s="19" t="n"/>
      <c r="BI53" s="19" t="n"/>
      <c r="BJ53" s="19" t="n"/>
      <c r="BK53" s="19" t="n"/>
      <c r="BL53" s="29" t="n"/>
      <c r="BM53">
        <f>IFERROR(VLOOKUP(BM$6,Hoja1!$F$2:$XFD$61,E53+4,FALSE),0)</f>
        <v/>
      </c>
      <c r="BN53">
        <f>IFERROR(VLOOKUP(BN$6,Hoja1!$F$2:$XFD$61,F53+4,FALSE),0)</f>
        <v/>
      </c>
      <c r="BO53">
        <f>IFERROR(VLOOKUP(BO$6,Hoja1!$F$2:$XFD$61,G53+4,FALSE),0)</f>
        <v/>
      </c>
      <c r="BP53">
        <f>IFERROR(VLOOKUP(BP$6,Hoja1!$F$2:$XFD$61,H53+4,FALSE),0)</f>
        <v/>
      </c>
      <c r="BQ53">
        <f>IFERROR(VLOOKUP(BQ$6,Hoja1!$F$2:$XFD$61,I53+4,FALSE),0)</f>
        <v/>
      </c>
      <c r="BR53">
        <f>IFERROR(VLOOKUP(BR$6,Hoja1!$F$2:$XFD$61,J53+4,FALSE),0)</f>
        <v/>
      </c>
      <c r="BS53">
        <f>IFERROR(VLOOKUP(BS$6,Hoja1!$F$2:$XFD$61,K53+4,FALSE),0)</f>
        <v/>
      </c>
      <c r="BT53">
        <f>IFERROR(VLOOKUP(BT$6,Hoja1!$F$2:$XFD$61,L53+4,FALSE),0)</f>
        <v/>
      </c>
      <c r="BU53">
        <f>IFERROR(VLOOKUP(BU$6,Hoja1!$F$2:$XFD$61,M53+4,FALSE),0)</f>
        <v/>
      </c>
      <c r="BV53">
        <f>IFERROR(VLOOKUP(BV$6,Hoja1!$F$2:$XFD$61,N53+4,FALSE),0)</f>
        <v/>
      </c>
      <c r="BW53">
        <f>IFERROR(VLOOKUP(BW$6,Hoja1!$F$2:$XFD$61,O53+4,FALSE),0)</f>
        <v/>
      </c>
      <c r="BX53">
        <f>IFERROR(VLOOKUP(BX$6,Hoja1!$F$2:$XFD$61,P53+4,FALSE),0)</f>
        <v/>
      </c>
      <c r="BY53">
        <f>IFERROR(VLOOKUP(BY$6,Hoja1!$F$2:$XFD$61,Q53+4,FALSE),0)</f>
        <v/>
      </c>
      <c r="BZ53">
        <f>IFERROR(VLOOKUP(BZ$6,Hoja1!$F$2:$XFD$61,R53+4,FALSE),0)</f>
        <v/>
      </c>
      <c r="CA53">
        <f>IFERROR(VLOOKUP(CA$6,Hoja1!$F$2:$XFD$61,S53+4,FALSE),0)</f>
        <v/>
      </c>
      <c r="CB53">
        <f>IFERROR(VLOOKUP(CB$6,Hoja1!$F$2:$XFD$61,T53+4,FALSE),0)</f>
        <v/>
      </c>
      <c r="CC53">
        <f>IFERROR(VLOOKUP(CC$6,Hoja1!$F$2:$XFD$61,U53+4,FALSE),0)</f>
        <v/>
      </c>
      <c r="CD53">
        <f>IFERROR(VLOOKUP(CD$6,Hoja1!$F$2:$XFD$61,V53+4,FALSE),0)</f>
        <v/>
      </c>
      <c r="CE53">
        <f>IFERROR(VLOOKUP(CE$6,Hoja1!$F$2:$XFD$61,W53+4,FALSE),0)</f>
        <v/>
      </c>
      <c r="CF53">
        <f>IFERROR(VLOOKUP(CF$6,Hoja1!$F$2:$XFD$61,X53+4,FALSE),0)</f>
        <v/>
      </c>
      <c r="CG53">
        <f>IFERROR(VLOOKUP(CG$6,Hoja1!$F$2:$XFD$61,Y53+4,FALSE),0)</f>
        <v/>
      </c>
      <c r="CH53">
        <f>IFERROR(VLOOKUP(CH$6,Hoja1!$F$2:$XFD$61,Z53+4,FALSE),0)</f>
        <v/>
      </c>
      <c r="CI53">
        <f>IFERROR(VLOOKUP(CI$6,Hoja1!$F$2:$XFD$61,AA53+4,FALSE),0)</f>
        <v/>
      </c>
      <c r="CJ53">
        <f>IFERROR(VLOOKUP(CJ$6,Hoja1!$F$2:$XFD$61,AB53+4,FALSE),0)</f>
        <v/>
      </c>
      <c r="CK53">
        <f>IFERROR(VLOOKUP(CK$6,Hoja1!$F$2:$XFD$61,AC53+4,FALSE),0)</f>
        <v/>
      </c>
      <c r="CL53">
        <f>IFERROR(VLOOKUP(CL$6,Hoja1!$F$2:$XFD$61,AD53+4,FALSE),0)</f>
        <v/>
      </c>
      <c r="CM53">
        <f>IFERROR(VLOOKUP(CM$6,Hoja1!$F$2:$XFD$61,AE53+4,FALSE),0)</f>
        <v/>
      </c>
      <c r="CN53">
        <f>IFERROR(VLOOKUP(CN$6,Hoja1!$F$2:$XFD$61,AF53+4,FALSE),0)</f>
        <v/>
      </c>
      <c r="CO53">
        <f>IFERROR(VLOOKUP(CO$6,Hoja1!$F$2:$XFD$61,AG53+4,FALSE),0)</f>
        <v/>
      </c>
      <c r="CP53">
        <f>IFERROR(VLOOKUP(CP$6,Hoja1!$F$2:$XFD$61,AH53+4,FALSE),0)</f>
        <v/>
      </c>
      <c r="CQ53">
        <f>IFERROR(VLOOKUP(CQ$6,Hoja1!$F$2:$XFD$61,AI53+4,FALSE),0)</f>
        <v/>
      </c>
      <c r="CR53">
        <f>IFERROR(VLOOKUP(CR$6,Hoja1!$F$2:$XFD$61,AJ53+4,FALSE),0)</f>
        <v/>
      </c>
      <c r="CS53">
        <f>IFERROR(VLOOKUP(CS$6,Hoja1!$F$2:$XFD$61,AK53+4,FALSE),0)</f>
        <v/>
      </c>
      <c r="CT53">
        <f>IFERROR(VLOOKUP(CT$6,Hoja1!$F$2:$XFD$61,AL53+4,FALSE),0)</f>
        <v/>
      </c>
      <c r="CU53">
        <f>IFERROR(VLOOKUP(CU$6,Hoja1!$F$2:$XFD$61,AM53+4,FALSE),0)</f>
        <v/>
      </c>
      <c r="CV53">
        <f>IFERROR(VLOOKUP(CV$6,Hoja1!$F$2:$XFD$61,AN53+4,FALSE),0)</f>
        <v/>
      </c>
      <c r="CW53">
        <f>IFERROR(VLOOKUP(CW$6,Hoja1!$F$2:$XFD$61,AO53+4,FALSE),0)</f>
        <v/>
      </c>
      <c r="CX53">
        <f>IFERROR(VLOOKUP(CX$6,Hoja1!$F$2:$XFD$61,AP53+4,FALSE),0)</f>
        <v/>
      </c>
      <c r="CY53">
        <f>IFERROR(VLOOKUP(CY$6,Hoja1!$F$2:$XFD$61,AQ53+4,FALSE),0)</f>
        <v/>
      </c>
      <c r="CZ53">
        <f>IFERROR(VLOOKUP(CZ$6,Hoja1!$F$2:$XFD$61,AR53+4,FALSE),0)</f>
        <v/>
      </c>
      <c r="DA53">
        <f>IFERROR(VLOOKUP(DA$6,Hoja1!$F$2:$XFD$61,AS53+4,FALSE),0)</f>
        <v/>
      </c>
      <c r="DB53">
        <f>IFERROR(VLOOKUP(DB$6,Hoja1!$F$2:$XFD$61,AT53+4,FALSE),0)</f>
        <v/>
      </c>
      <c r="DC53">
        <f>IFERROR(VLOOKUP(DC$6,Hoja1!$F$2:$XFD$61,AU53+4,FALSE),0)</f>
        <v/>
      </c>
      <c r="DD53">
        <f>IFERROR(VLOOKUP(DD$6,Hoja1!$F$2:$XFD$61,AV53+4,FALSE),0)</f>
        <v/>
      </c>
      <c r="DE53">
        <f>IFERROR(VLOOKUP(DE$6,Hoja1!$F$2:$XFD$61,AW53+4,FALSE),0)</f>
        <v/>
      </c>
      <c r="DF53">
        <f>IFERROR(VLOOKUP(DF$6,Hoja1!$F$2:$XFD$61,AX53+4,FALSE),0)</f>
        <v/>
      </c>
      <c r="DG53">
        <f>IFERROR(VLOOKUP(DG$6,Hoja1!$F$2:$XFD$61,AY53+4,FALSE),0)</f>
        <v/>
      </c>
      <c r="DH53">
        <f>IFERROR(VLOOKUP(DH$6,Hoja1!$F$2:$XFD$61,AZ53+4,FALSE),0)</f>
        <v/>
      </c>
      <c r="DI53">
        <f>IFERROR(VLOOKUP(DI$6,Hoja1!$F$2:$XFD$61,BA53+4,FALSE),0)</f>
        <v/>
      </c>
      <c r="DJ53">
        <f>IFERROR(VLOOKUP(DJ$6,Hoja1!$F$2:$XFD$61,BB53+4,FALSE),0)</f>
        <v/>
      </c>
      <c r="DK53">
        <f>IFERROR(VLOOKUP(DK$6,Hoja1!$F$2:$XFD$61,BC53+4,FALSE),0)</f>
        <v/>
      </c>
      <c r="DL53">
        <f>IFERROR(VLOOKUP(DL$6,Hoja1!$F$2:$XFD$61,BD53+4,FALSE),0)</f>
        <v/>
      </c>
      <c r="DM53">
        <f>IFERROR(VLOOKUP(DM$6,Hoja1!$F$2:$XFD$61,BE53+4,FALSE),0)</f>
        <v/>
      </c>
      <c r="DN53">
        <f>IFERROR(VLOOKUP(DN$6,Hoja1!$F$2:$XFD$61,BF53+4,FALSE),0)</f>
        <v/>
      </c>
      <c r="DO53">
        <f>IFERROR(VLOOKUP(DO$6,Hoja1!$F$2:$XFD$61,BG53+4,FALSE),0)</f>
        <v/>
      </c>
      <c r="DP53">
        <f>IFERROR(VLOOKUP(DP$6,Hoja1!$F$2:$XFD$61,BH53+4,FALSE),0)</f>
        <v/>
      </c>
      <c r="DQ53">
        <f>IFERROR(VLOOKUP(DQ$6,Hoja1!$F$2:$XFD$61,BI53+4,FALSE),0)</f>
        <v/>
      </c>
      <c r="DR53">
        <f>IFERROR(VLOOKUP(DR$6,Hoja1!$F$2:$XFD$61,BJ53+4,FALSE),0)</f>
        <v/>
      </c>
      <c r="DS53">
        <f>IFERROR(VLOOKUP(DS$6,Hoja1!$F$2:$XFD$61,BK53+4,FALSE),0)</f>
        <v/>
      </c>
      <c r="DT53">
        <f>IFERROR(VLOOKUP(DT$6,Hoja1!$F$2:$XFD$61,BL53+4,FALSE),0)</f>
        <v/>
      </c>
      <c r="DU53" s="15">
        <f>IF(COUNT(E53:BL53)=$DV$7,IF(D53="","indique grupo",SUM(BM53:DT53)),"")</f>
        <v/>
      </c>
      <c r="DV53" s="16">
        <f>IF(D53&lt;&gt;"",IF(DU53="","",IF(DU53&gt;=$DU$7*Hoja1!$E$2,4+3/($DU$7*(1-Hoja1!$E$2))*(DU53-$DU$7*Hoja1!$E$2),1+3/($DU$7*Hoja1!$E$2)*DU53)),DU53)</f>
        <v/>
      </c>
      <c r="DW53" s="47" t="b">
        <v>0</v>
      </c>
    </row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2024-05-03T14:03:46Z</dcterms:modified>
  <cp:lastModifiedBy>Leandro Gutierrez A.</cp:lastModifiedBy>
  <cp:lastPrinted>2012-11-30T22:55:58Z</cp:lastPrinted>
</cp:coreProperties>
</file>