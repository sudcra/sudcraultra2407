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43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ALVAREZ PEREZ FELIPE IGNACIO</t>
        </is>
      </c>
      <c r="C10" s="14" t="inlineStr">
        <is>
          <t>211718358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AZOCAR HORMAZABAL BEATRIZ ALEJANDRA</t>
        </is>
      </c>
      <c r="C11" s="18" t="inlineStr">
        <is>
          <t>204247595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BURGOS BURGOS MARGARITA AMELIA</t>
        </is>
      </c>
      <c r="C12" s="14" t="inlineStr">
        <is>
          <t>207121916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BUSTOS BUSTOS BASTIAN IGNACIO</t>
        </is>
      </c>
      <c r="C13" s="18" t="inlineStr">
        <is>
          <t>201236843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CALDERON MAUREIRA LUIS ALEJANDRO</t>
        </is>
      </c>
      <c r="C14" s="14" t="inlineStr">
        <is>
          <t>16576479K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CARRASCO ARRIAZA BARBARA</t>
        </is>
      </c>
      <c r="C15" s="14" t="inlineStr">
        <is>
          <t>165774825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CATALAN CATALAN MACARENA ELIZABETH</t>
        </is>
      </c>
      <c r="C16" s="18" t="inlineStr">
        <is>
          <t>163394081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CHAVEZ DELSO DIEGO</t>
        </is>
      </c>
      <c r="C17" s="14" t="inlineStr">
        <is>
          <t>202970176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CONTRERAS ORTEGA JAVIERA ANAIS</t>
        </is>
      </c>
      <c r="C18" s="14" t="inlineStr">
        <is>
          <t>201234670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DUARTE ALARCON VALENTINA DEL ROSARIO</t>
        </is>
      </c>
      <c r="C19" s="18" t="inlineStr">
        <is>
          <t>211732644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FLORES GONZALEZ KRISTEL ANTONIA</t>
        </is>
      </c>
      <c r="C20" s="18" t="inlineStr">
        <is>
          <t>214447185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GALVEZ MIRANDA JUAN PABLO</t>
        </is>
      </c>
      <c r="C21" s="18" t="inlineStr">
        <is>
          <t>168560982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GUAJARDO IRRAZABAL TIARE PAULINA</t>
        </is>
      </c>
      <c r="C22" s="18" t="inlineStr">
        <is>
          <t>220290018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GUERRA GONZALEZ DYORDHY ALEXANDRA</t>
        </is>
      </c>
      <c r="C23" s="18" t="inlineStr">
        <is>
          <t>195660077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HERNANDEZ CUEVAS FRANCISCO JAVIER</t>
        </is>
      </c>
      <c r="C24" s="18" t="inlineStr">
        <is>
          <t>167282733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HINOJOSA NUNEZ JOSE MATIAS</t>
        </is>
      </c>
      <c r="C25" s="18" t="inlineStr">
        <is>
          <t>194114591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LOBOS SOTO VAITIARE</t>
        </is>
      </c>
      <c r="C26" s="18" t="inlineStr">
        <is>
          <t>214168030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MARTINEZ ALARCON SARA ROSA</t>
        </is>
      </c>
      <c r="C27" s="18" t="inlineStr">
        <is>
          <t>181629134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MOLINA RIQUELME ADRIAN JOSE</t>
        </is>
      </c>
      <c r="C28" s="18" t="inlineStr">
        <is>
          <t>189598912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MUNOZ PIZARRO SEBASTIAN ANTONIO</t>
        </is>
      </c>
      <c r="C29" s="18" t="inlineStr">
        <is>
          <t>195040729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NAVARRO HUERTA EDUARDO</t>
        </is>
      </c>
      <c r="C30" s="18" t="inlineStr">
        <is>
          <t>184877600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OYARZUN REYES GABRIELA ISIDORA</t>
        </is>
      </c>
      <c r="C31" s="18" t="inlineStr">
        <is>
          <t>215630285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PACHECO VASQUEZ ANGELICA YASMINA</t>
        </is>
      </c>
      <c r="C32" s="18" t="inlineStr">
        <is>
          <t>158871459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PINA CAMPOS CARLA JAVIERA</t>
        </is>
      </c>
      <c r="C33" s="18" t="inlineStr">
        <is>
          <t>213315722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QUEVEDO QUIROZ ANA  MARGARITA</t>
        </is>
      </c>
      <c r="C34" s="18" t="inlineStr">
        <is>
          <t>211736615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SEPULVEDA BARRERA NICOLAS MISAEL EDUARDO</t>
        </is>
      </c>
      <c r="C35" s="18" t="inlineStr">
        <is>
          <t>220774937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SILVA CONTRERAS RUTH LIA</t>
        </is>
      </c>
      <c r="C36" s="18" t="inlineStr">
        <is>
          <t>170698770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SILVA ROJAS JOAQUIN ADAN</t>
        </is>
      </c>
      <c r="C37" s="18" t="inlineStr">
        <is>
          <t>157792253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SILVA SANCHEZ JOHN JORDAN</t>
        </is>
      </c>
      <c r="C38" s="18" t="inlineStr">
        <is>
          <t>267587582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SOIZA SANHUEZA CATALINA IGNACIA</t>
        </is>
      </c>
      <c r="C39" s="18" t="inlineStr">
        <is>
          <t>203260296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>
      <c r="A40" s="17" t="n">
        <v>31</v>
      </c>
      <c r="B40" s="18" t="inlineStr">
        <is>
          <t>STEVENS STEVENS ANGELO FABIAN</t>
        </is>
      </c>
      <c r="C40" s="18" t="inlineStr">
        <is>
          <t>180515321</t>
        </is>
      </c>
      <c r="D40" s="1" t="n"/>
      <c r="E40" s="28" t="n"/>
      <c r="F40" s="19" t="n"/>
      <c r="G40" s="19" t="n"/>
      <c r="H40" s="19" t="n"/>
      <c r="I40" s="19" t="n"/>
      <c r="J40" s="19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  <c r="X40" s="19" t="n"/>
      <c r="Y40" s="19" t="n"/>
      <c r="Z40" s="19" t="n"/>
      <c r="AA40" s="19" t="n"/>
      <c r="AB40" s="19" t="n"/>
      <c r="AC40" s="19" t="n"/>
      <c r="AD40" s="19" t="n"/>
      <c r="AE40" s="19" t="n"/>
      <c r="AF40" s="19" t="n"/>
      <c r="AG40" s="19" t="n"/>
      <c r="AH40" s="19" t="n"/>
      <c r="AI40" s="19" t="n"/>
      <c r="AJ40" s="19" t="n"/>
      <c r="AK40" s="19" t="n"/>
      <c r="AL40" s="19" t="n"/>
      <c r="AM40" s="19" t="n"/>
      <c r="AN40" s="19" t="n"/>
      <c r="AO40" s="19" t="n"/>
      <c r="AP40" s="19" t="n"/>
      <c r="AQ40" s="19" t="n"/>
      <c r="AR40" s="19" t="n"/>
      <c r="AS40" s="19" t="n"/>
      <c r="AT40" s="19" t="n"/>
      <c r="AU40" s="19" t="n"/>
      <c r="AV40" s="19" t="n"/>
      <c r="AW40" s="19" t="n"/>
      <c r="AX40" s="19" t="n"/>
      <c r="AY40" s="19" t="n"/>
      <c r="AZ40" s="19" t="n"/>
      <c r="BA40" s="19" t="n"/>
      <c r="BB40" s="19" t="n"/>
      <c r="BC40" s="19" t="n"/>
      <c r="BD40" s="19" t="n"/>
      <c r="BE40" s="19" t="n"/>
      <c r="BF40" s="19" t="n"/>
      <c r="BG40" s="19" t="n"/>
      <c r="BH40" s="19" t="n"/>
      <c r="BI40" s="19" t="n"/>
      <c r="BJ40" s="19" t="n"/>
      <c r="BK40" s="19" t="n"/>
      <c r="BL40" s="29" t="n"/>
      <c r="BM40">
        <f>IFERROR(VLOOKUP(BM$6,Hoja1!$F$2:$XFD$61,E40+4,FALSE),0)</f>
        <v/>
      </c>
      <c r="BN40">
        <f>IFERROR(VLOOKUP(BN$6,Hoja1!$F$2:$XFD$61,F40+4,FALSE),0)</f>
        <v/>
      </c>
      <c r="BO40">
        <f>IFERROR(VLOOKUP(BO$6,Hoja1!$F$2:$XFD$61,G40+4,FALSE),0)</f>
        <v/>
      </c>
      <c r="BP40">
        <f>IFERROR(VLOOKUP(BP$6,Hoja1!$F$2:$XFD$61,H40+4,FALSE),0)</f>
        <v/>
      </c>
      <c r="BQ40">
        <f>IFERROR(VLOOKUP(BQ$6,Hoja1!$F$2:$XFD$61,I40+4,FALSE),0)</f>
        <v/>
      </c>
      <c r="BR40">
        <f>IFERROR(VLOOKUP(BR$6,Hoja1!$F$2:$XFD$61,J40+4,FALSE),0)</f>
        <v/>
      </c>
      <c r="BS40">
        <f>IFERROR(VLOOKUP(BS$6,Hoja1!$F$2:$XFD$61,K40+4,FALSE),0)</f>
        <v/>
      </c>
      <c r="BT40">
        <f>IFERROR(VLOOKUP(BT$6,Hoja1!$F$2:$XFD$61,L40+4,FALSE),0)</f>
        <v/>
      </c>
      <c r="BU40">
        <f>IFERROR(VLOOKUP(BU$6,Hoja1!$F$2:$XFD$61,M40+4,FALSE),0)</f>
        <v/>
      </c>
      <c r="BV40">
        <f>IFERROR(VLOOKUP(BV$6,Hoja1!$F$2:$XFD$61,N40+4,FALSE),0)</f>
        <v/>
      </c>
      <c r="BW40">
        <f>IFERROR(VLOOKUP(BW$6,Hoja1!$F$2:$XFD$61,O40+4,FALSE),0)</f>
        <v/>
      </c>
      <c r="BX40">
        <f>IFERROR(VLOOKUP(BX$6,Hoja1!$F$2:$XFD$61,P40+4,FALSE),0)</f>
        <v/>
      </c>
      <c r="BY40">
        <f>IFERROR(VLOOKUP(BY$6,Hoja1!$F$2:$XFD$61,Q40+4,FALSE),0)</f>
        <v/>
      </c>
      <c r="BZ40">
        <f>IFERROR(VLOOKUP(BZ$6,Hoja1!$F$2:$XFD$61,R40+4,FALSE),0)</f>
        <v/>
      </c>
      <c r="CA40">
        <f>IFERROR(VLOOKUP(CA$6,Hoja1!$F$2:$XFD$61,S40+4,FALSE),0)</f>
        <v/>
      </c>
      <c r="CB40">
        <f>IFERROR(VLOOKUP(CB$6,Hoja1!$F$2:$XFD$61,T40+4,FALSE),0)</f>
        <v/>
      </c>
      <c r="CC40">
        <f>IFERROR(VLOOKUP(CC$6,Hoja1!$F$2:$XFD$61,U40+4,FALSE),0)</f>
        <v/>
      </c>
      <c r="CD40">
        <f>IFERROR(VLOOKUP(CD$6,Hoja1!$F$2:$XFD$61,V40+4,FALSE),0)</f>
        <v/>
      </c>
      <c r="CE40">
        <f>IFERROR(VLOOKUP(CE$6,Hoja1!$F$2:$XFD$61,W40+4,FALSE),0)</f>
        <v/>
      </c>
      <c r="CF40">
        <f>IFERROR(VLOOKUP(CF$6,Hoja1!$F$2:$XFD$61,X40+4,FALSE),0)</f>
        <v/>
      </c>
      <c r="CG40">
        <f>IFERROR(VLOOKUP(CG$6,Hoja1!$F$2:$XFD$61,Y40+4,FALSE),0)</f>
        <v/>
      </c>
      <c r="CH40">
        <f>IFERROR(VLOOKUP(CH$6,Hoja1!$F$2:$XFD$61,Z40+4,FALSE),0)</f>
        <v/>
      </c>
      <c r="CI40">
        <f>IFERROR(VLOOKUP(CI$6,Hoja1!$F$2:$XFD$61,AA40+4,FALSE),0)</f>
        <v/>
      </c>
      <c r="CJ40">
        <f>IFERROR(VLOOKUP(CJ$6,Hoja1!$F$2:$XFD$61,AB40+4,FALSE),0)</f>
        <v/>
      </c>
      <c r="CK40">
        <f>IFERROR(VLOOKUP(CK$6,Hoja1!$F$2:$XFD$61,AC40+4,FALSE),0)</f>
        <v/>
      </c>
      <c r="CL40">
        <f>IFERROR(VLOOKUP(CL$6,Hoja1!$F$2:$XFD$61,AD40+4,FALSE),0)</f>
        <v/>
      </c>
      <c r="CM40">
        <f>IFERROR(VLOOKUP(CM$6,Hoja1!$F$2:$XFD$61,AE40+4,FALSE),0)</f>
        <v/>
      </c>
      <c r="CN40">
        <f>IFERROR(VLOOKUP(CN$6,Hoja1!$F$2:$XFD$61,AF40+4,FALSE),0)</f>
        <v/>
      </c>
      <c r="CO40">
        <f>IFERROR(VLOOKUP(CO$6,Hoja1!$F$2:$XFD$61,AG40+4,FALSE),0)</f>
        <v/>
      </c>
      <c r="CP40">
        <f>IFERROR(VLOOKUP(CP$6,Hoja1!$F$2:$XFD$61,AH40+4,FALSE),0)</f>
        <v/>
      </c>
      <c r="CQ40">
        <f>IFERROR(VLOOKUP(CQ$6,Hoja1!$F$2:$XFD$61,AI40+4,FALSE),0)</f>
        <v/>
      </c>
      <c r="CR40">
        <f>IFERROR(VLOOKUP(CR$6,Hoja1!$F$2:$XFD$61,AJ40+4,FALSE),0)</f>
        <v/>
      </c>
      <c r="CS40">
        <f>IFERROR(VLOOKUP(CS$6,Hoja1!$F$2:$XFD$61,AK40+4,FALSE),0)</f>
        <v/>
      </c>
      <c r="CT40">
        <f>IFERROR(VLOOKUP(CT$6,Hoja1!$F$2:$XFD$61,AL40+4,FALSE),0)</f>
        <v/>
      </c>
      <c r="CU40">
        <f>IFERROR(VLOOKUP(CU$6,Hoja1!$F$2:$XFD$61,AM40+4,FALSE),0)</f>
        <v/>
      </c>
      <c r="CV40">
        <f>IFERROR(VLOOKUP(CV$6,Hoja1!$F$2:$XFD$61,AN40+4,FALSE),0)</f>
        <v/>
      </c>
      <c r="CW40">
        <f>IFERROR(VLOOKUP(CW$6,Hoja1!$F$2:$XFD$61,AO40+4,FALSE),0)</f>
        <v/>
      </c>
      <c r="CX40">
        <f>IFERROR(VLOOKUP(CX$6,Hoja1!$F$2:$XFD$61,AP40+4,FALSE),0)</f>
        <v/>
      </c>
      <c r="CY40">
        <f>IFERROR(VLOOKUP(CY$6,Hoja1!$F$2:$XFD$61,AQ40+4,FALSE),0)</f>
        <v/>
      </c>
      <c r="CZ40">
        <f>IFERROR(VLOOKUP(CZ$6,Hoja1!$F$2:$XFD$61,AR40+4,FALSE),0)</f>
        <v/>
      </c>
      <c r="DA40">
        <f>IFERROR(VLOOKUP(DA$6,Hoja1!$F$2:$XFD$61,AS40+4,FALSE),0)</f>
        <v/>
      </c>
      <c r="DB40">
        <f>IFERROR(VLOOKUP(DB$6,Hoja1!$F$2:$XFD$61,AT40+4,FALSE),0)</f>
        <v/>
      </c>
      <c r="DC40">
        <f>IFERROR(VLOOKUP(DC$6,Hoja1!$F$2:$XFD$61,AU40+4,FALSE),0)</f>
        <v/>
      </c>
      <c r="DD40">
        <f>IFERROR(VLOOKUP(DD$6,Hoja1!$F$2:$XFD$61,AV40+4,FALSE),0)</f>
        <v/>
      </c>
      <c r="DE40">
        <f>IFERROR(VLOOKUP(DE$6,Hoja1!$F$2:$XFD$61,AW40+4,FALSE),0)</f>
        <v/>
      </c>
      <c r="DF40">
        <f>IFERROR(VLOOKUP(DF$6,Hoja1!$F$2:$XFD$61,AX40+4,FALSE),0)</f>
        <v/>
      </c>
      <c r="DG40">
        <f>IFERROR(VLOOKUP(DG$6,Hoja1!$F$2:$XFD$61,AY40+4,FALSE),0)</f>
        <v/>
      </c>
      <c r="DH40">
        <f>IFERROR(VLOOKUP(DH$6,Hoja1!$F$2:$XFD$61,AZ40+4,FALSE),0)</f>
        <v/>
      </c>
      <c r="DI40">
        <f>IFERROR(VLOOKUP(DI$6,Hoja1!$F$2:$XFD$61,BA40+4,FALSE),0)</f>
        <v/>
      </c>
      <c r="DJ40">
        <f>IFERROR(VLOOKUP(DJ$6,Hoja1!$F$2:$XFD$61,BB40+4,FALSE),0)</f>
        <v/>
      </c>
      <c r="DK40">
        <f>IFERROR(VLOOKUP(DK$6,Hoja1!$F$2:$XFD$61,BC40+4,FALSE),0)</f>
        <v/>
      </c>
      <c r="DL40">
        <f>IFERROR(VLOOKUP(DL$6,Hoja1!$F$2:$XFD$61,BD40+4,FALSE),0)</f>
        <v/>
      </c>
      <c r="DM40">
        <f>IFERROR(VLOOKUP(DM$6,Hoja1!$F$2:$XFD$61,BE40+4,FALSE),0)</f>
        <v/>
      </c>
      <c r="DN40">
        <f>IFERROR(VLOOKUP(DN$6,Hoja1!$F$2:$XFD$61,BF40+4,FALSE),0)</f>
        <v/>
      </c>
      <c r="DO40">
        <f>IFERROR(VLOOKUP(DO$6,Hoja1!$F$2:$XFD$61,BG40+4,FALSE),0)</f>
        <v/>
      </c>
      <c r="DP40">
        <f>IFERROR(VLOOKUP(DP$6,Hoja1!$F$2:$XFD$61,BH40+4,FALSE),0)</f>
        <v/>
      </c>
      <c r="DQ40">
        <f>IFERROR(VLOOKUP(DQ$6,Hoja1!$F$2:$XFD$61,BI40+4,FALSE),0)</f>
        <v/>
      </c>
      <c r="DR40">
        <f>IFERROR(VLOOKUP(DR$6,Hoja1!$F$2:$XFD$61,BJ40+4,FALSE),0)</f>
        <v/>
      </c>
      <c r="DS40">
        <f>IFERROR(VLOOKUP(DS$6,Hoja1!$F$2:$XFD$61,BK40+4,FALSE),0)</f>
        <v/>
      </c>
      <c r="DT40">
        <f>IFERROR(VLOOKUP(DT$6,Hoja1!$F$2:$XFD$61,BL40+4,FALSE),0)</f>
        <v/>
      </c>
      <c r="DU40" s="15">
        <f>IF(COUNT(E40:BL40)=$DV$7,IF(D40="","indique grupo",SUM(BM40:DT40)),"")</f>
        <v/>
      </c>
      <c r="DV40" s="16">
        <f>IF(D40&lt;&gt;"",IF(DU40="","",IF(DU40&gt;=$DU$7*Hoja1!$E$2,4+3/($DU$7*(1-Hoja1!$E$2))*(DU40-$DU$7*Hoja1!$E$2),1+3/($DU$7*Hoja1!$E$2)*DU40)),DU40)</f>
        <v/>
      </c>
      <c r="DW40" s="47" t="b">
        <v>0</v>
      </c>
    </row>
    <row r="41" ht="23.25" customHeight="1">
      <c r="A41" s="17" t="n">
        <v>32</v>
      </c>
      <c r="B41" s="18" t="inlineStr">
        <is>
          <t>TORO TORRES BAYRON PATRICIO</t>
        </is>
      </c>
      <c r="C41" s="18" t="inlineStr">
        <is>
          <t>215680703</t>
        </is>
      </c>
      <c r="D41" s="1" t="n"/>
      <c r="E41" s="28" t="n"/>
      <c r="F41" s="19" t="n"/>
      <c r="G41" s="19" t="n"/>
      <c r="H41" s="19" t="n"/>
      <c r="I41" s="19" t="n"/>
      <c r="J41" s="19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  <c r="X41" s="19" t="n"/>
      <c r="Y41" s="19" t="n"/>
      <c r="Z41" s="19" t="n"/>
      <c r="AA41" s="19" t="n"/>
      <c r="AB41" s="19" t="n"/>
      <c r="AC41" s="19" t="n"/>
      <c r="AD41" s="19" t="n"/>
      <c r="AE41" s="19" t="n"/>
      <c r="AF41" s="19" t="n"/>
      <c r="AG41" s="19" t="n"/>
      <c r="AH41" s="19" t="n"/>
      <c r="AI41" s="19" t="n"/>
      <c r="AJ41" s="19" t="n"/>
      <c r="AK41" s="19" t="n"/>
      <c r="AL41" s="19" t="n"/>
      <c r="AM41" s="19" t="n"/>
      <c r="AN41" s="19" t="n"/>
      <c r="AO41" s="19" t="n"/>
      <c r="AP41" s="19" t="n"/>
      <c r="AQ41" s="19" t="n"/>
      <c r="AR41" s="19" t="n"/>
      <c r="AS41" s="19" t="n"/>
      <c r="AT41" s="19" t="n"/>
      <c r="AU41" s="19" t="n"/>
      <c r="AV41" s="19" t="n"/>
      <c r="AW41" s="19" t="n"/>
      <c r="AX41" s="19" t="n"/>
      <c r="AY41" s="19" t="n"/>
      <c r="AZ41" s="19" t="n"/>
      <c r="BA41" s="19" t="n"/>
      <c r="BB41" s="19" t="n"/>
      <c r="BC41" s="19" t="n"/>
      <c r="BD41" s="19" t="n"/>
      <c r="BE41" s="19" t="n"/>
      <c r="BF41" s="19" t="n"/>
      <c r="BG41" s="19" t="n"/>
      <c r="BH41" s="19" t="n"/>
      <c r="BI41" s="19" t="n"/>
      <c r="BJ41" s="19" t="n"/>
      <c r="BK41" s="19" t="n"/>
      <c r="BL41" s="29" t="n"/>
      <c r="BM41">
        <f>IFERROR(VLOOKUP(BM$6,Hoja1!$F$2:$XFD$61,E41+4,FALSE),0)</f>
        <v/>
      </c>
      <c r="BN41">
        <f>IFERROR(VLOOKUP(BN$6,Hoja1!$F$2:$XFD$61,F41+4,FALSE),0)</f>
        <v/>
      </c>
      <c r="BO41">
        <f>IFERROR(VLOOKUP(BO$6,Hoja1!$F$2:$XFD$61,G41+4,FALSE),0)</f>
        <v/>
      </c>
      <c r="BP41">
        <f>IFERROR(VLOOKUP(BP$6,Hoja1!$F$2:$XFD$61,H41+4,FALSE),0)</f>
        <v/>
      </c>
      <c r="BQ41">
        <f>IFERROR(VLOOKUP(BQ$6,Hoja1!$F$2:$XFD$61,I41+4,FALSE),0)</f>
        <v/>
      </c>
      <c r="BR41">
        <f>IFERROR(VLOOKUP(BR$6,Hoja1!$F$2:$XFD$61,J41+4,FALSE),0)</f>
        <v/>
      </c>
      <c r="BS41">
        <f>IFERROR(VLOOKUP(BS$6,Hoja1!$F$2:$XFD$61,K41+4,FALSE),0)</f>
        <v/>
      </c>
      <c r="BT41">
        <f>IFERROR(VLOOKUP(BT$6,Hoja1!$F$2:$XFD$61,L41+4,FALSE),0)</f>
        <v/>
      </c>
      <c r="BU41">
        <f>IFERROR(VLOOKUP(BU$6,Hoja1!$F$2:$XFD$61,M41+4,FALSE),0)</f>
        <v/>
      </c>
      <c r="BV41">
        <f>IFERROR(VLOOKUP(BV$6,Hoja1!$F$2:$XFD$61,N41+4,FALSE),0)</f>
        <v/>
      </c>
      <c r="BW41">
        <f>IFERROR(VLOOKUP(BW$6,Hoja1!$F$2:$XFD$61,O41+4,FALSE),0)</f>
        <v/>
      </c>
      <c r="BX41">
        <f>IFERROR(VLOOKUP(BX$6,Hoja1!$F$2:$XFD$61,P41+4,FALSE),0)</f>
        <v/>
      </c>
      <c r="BY41">
        <f>IFERROR(VLOOKUP(BY$6,Hoja1!$F$2:$XFD$61,Q41+4,FALSE),0)</f>
        <v/>
      </c>
      <c r="BZ41">
        <f>IFERROR(VLOOKUP(BZ$6,Hoja1!$F$2:$XFD$61,R41+4,FALSE),0)</f>
        <v/>
      </c>
      <c r="CA41">
        <f>IFERROR(VLOOKUP(CA$6,Hoja1!$F$2:$XFD$61,S41+4,FALSE),0)</f>
        <v/>
      </c>
      <c r="CB41">
        <f>IFERROR(VLOOKUP(CB$6,Hoja1!$F$2:$XFD$61,T41+4,FALSE),0)</f>
        <v/>
      </c>
      <c r="CC41">
        <f>IFERROR(VLOOKUP(CC$6,Hoja1!$F$2:$XFD$61,U41+4,FALSE),0)</f>
        <v/>
      </c>
      <c r="CD41">
        <f>IFERROR(VLOOKUP(CD$6,Hoja1!$F$2:$XFD$61,V41+4,FALSE),0)</f>
        <v/>
      </c>
      <c r="CE41">
        <f>IFERROR(VLOOKUP(CE$6,Hoja1!$F$2:$XFD$61,W41+4,FALSE),0)</f>
        <v/>
      </c>
      <c r="CF41">
        <f>IFERROR(VLOOKUP(CF$6,Hoja1!$F$2:$XFD$61,X41+4,FALSE),0)</f>
        <v/>
      </c>
      <c r="CG41">
        <f>IFERROR(VLOOKUP(CG$6,Hoja1!$F$2:$XFD$61,Y41+4,FALSE),0)</f>
        <v/>
      </c>
      <c r="CH41">
        <f>IFERROR(VLOOKUP(CH$6,Hoja1!$F$2:$XFD$61,Z41+4,FALSE),0)</f>
        <v/>
      </c>
      <c r="CI41">
        <f>IFERROR(VLOOKUP(CI$6,Hoja1!$F$2:$XFD$61,AA41+4,FALSE),0)</f>
        <v/>
      </c>
      <c r="CJ41">
        <f>IFERROR(VLOOKUP(CJ$6,Hoja1!$F$2:$XFD$61,AB41+4,FALSE),0)</f>
        <v/>
      </c>
      <c r="CK41">
        <f>IFERROR(VLOOKUP(CK$6,Hoja1!$F$2:$XFD$61,AC41+4,FALSE),0)</f>
        <v/>
      </c>
      <c r="CL41">
        <f>IFERROR(VLOOKUP(CL$6,Hoja1!$F$2:$XFD$61,AD41+4,FALSE),0)</f>
        <v/>
      </c>
      <c r="CM41">
        <f>IFERROR(VLOOKUP(CM$6,Hoja1!$F$2:$XFD$61,AE41+4,FALSE),0)</f>
        <v/>
      </c>
      <c r="CN41">
        <f>IFERROR(VLOOKUP(CN$6,Hoja1!$F$2:$XFD$61,AF41+4,FALSE),0)</f>
        <v/>
      </c>
      <c r="CO41">
        <f>IFERROR(VLOOKUP(CO$6,Hoja1!$F$2:$XFD$61,AG41+4,FALSE),0)</f>
        <v/>
      </c>
      <c r="CP41">
        <f>IFERROR(VLOOKUP(CP$6,Hoja1!$F$2:$XFD$61,AH41+4,FALSE),0)</f>
        <v/>
      </c>
      <c r="CQ41">
        <f>IFERROR(VLOOKUP(CQ$6,Hoja1!$F$2:$XFD$61,AI41+4,FALSE),0)</f>
        <v/>
      </c>
      <c r="CR41">
        <f>IFERROR(VLOOKUP(CR$6,Hoja1!$F$2:$XFD$61,AJ41+4,FALSE),0)</f>
        <v/>
      </c>
      <c r="CS41">
        <f>IFERROR(VLOOKUP(CS$6,Hoja1!$F$2:$XFD$61,AK41+4,FALSE),0)</f>
        <v/>
      </c>
      <c r="CT41">
        <f>IFERROR(VLOOKUP(CT$6,Hoja1!$F$2:$XFD$61,AL41+4,FALSE),0)</f>
        <v/>
      </c>
      <c r="CU41">
        <f>IFERROR(VLOOKUP(CU$6,Hoja1!$F$2:$XFD$61,AM41+4,FALSE),0)</f>
        <v/>
      </c>
      <c r="CV41">
        <f>IFERROR(VLOOKUP(CV$6,Hoja1!$F$2:$XFD$61,AN41+4,FALSE),0)</f>
        <v/>
      </c>
      <c r="CW41">
        <f>IFERROR(VLOOKUP(CW$6,Hoja1!$F$2:$XFD$61,AO41+4,FALSE),0)</f>
        <v/>
      </c>
      <c r="CX41">
        <f>IFERROR(VLOOKUP(CX$6,Hoja1!$F$2:$XFD$61,AP41+4,FALSE),0)</f>
        <v/>
      </c>
      <c r="CY41">
        <f>IFERROR(VLOOKUP(CY$6,Hoja1!$F$2:$XFD$61,AQ41+4,FALSE),0)</f>
        <v/>
      </c>
      <c r="CZ41">
        <f>IFERROR(VLOOKUP(CZ$6,Hoja1!$F$2:$XFD$61,AR41+4,FALSE),0)</f>
        <v/>
      </c>
      <c r="DA41">
        <f>IFERROR(VLOOKUP(DA$6,Hoja1!$F$2:$XFD$61,AS41+4,FALSE),0)</f>
        <v/>
      </c>
      <c r="DB41">
        <f>IFERROR(VLOOKUP(DB$6,Hoja1!$F$2:$XFD$61,AT41+4,FALSE),0)</f>
        <v/>
      </c>
      <c r="DC41">
        <f>IFERROR(VLOOKUP(DC$6,Hoja1!$F$2:$XFD$61,AU41+4,FALSE),0)</f>
        <v/>
      </c>
      <c r="DD41">
        <f>IFERROR(VLOOKUP(DD$6,Hoja1!$F$2:$XFD$61,AV41+4,FALSE),0)</f>
        <v/>
      </c>
      <c r="DE41">
        <f>IFERROR(VLOOKUP(DE$6,Hoja1!$F$2:$XFD$61,AW41+4,FALSE),0)</f>
        <v/>
      </c>
      <c r="DF41">
        <f>IFERROR(VLOOKUP(DF$6,Hoja1!$F$2:$XFD$61,AX41+4,FALSE),0)</f>
        <v/>
      </c>
      <c r="DG41">
        <f>IFERROR(VLOOKUP(DG$6,Hoja1!$F$2:$XFD$61,AY41+4,FALSE),0)</f>
        <v/>
      </c>
      <c r="DH41">
        <f>IFERROR(VLOOKUP(DH$6,Hoja1!$F$2:$XFD$61,AZ41+4,FALSE),0)</f>
        <v/>
      </c>
      <c r="DI41">
        <f>IFERROR(VLOOKUP(DI$6,Hoja1!$F$2:$XFD$61,BA41+4,FALSE),0)</f>
        <v/>
      </c>
      <c r="DJ41">
        <f>IFERROR(VLOOKUP(DJ$6,Hoja1!$F$2:$XFD$61,BB41+4,FALSE),0)</f>
        <v/>
      </c>
      <c r="DK41">
        <f>IFERROR(VLOOKUP(DK$6,Hoja1!$F$2:$XFD$61,BC41+4,FALSE),0)</f>
        <v/>
      </c>
      <c r="DL41">
        <f>IFERROR(VLOOKUP(DL$6,Hoja1!$F$2:$XFD$61,BD41+4,FALSE),0)</f>
        <v/>
      </c>
      <c r="DM41">
        <f>IFERROR(VLOOKUP(DM$6,Hoja1!$F$2:$XFD$61,BE41+4,FALSE),0)</f>
        <v/>
      </c>
      <c r="DN41">
        <f>IFERROR(VLOOKUP(DN$6,Hoja1!$F$2:$XFD$61,BF41+4,FALSE),0)</f>
        <v/>
      </c>
      <c r="DO41">
        <f>IFERROR(VLOOKUP(DO$6,Hoja1!$F$2:$XFD$61,BG41+4,FALSE),0)</f>
        <v/>
      </c>
      <c r="DP41">
        <f>IFERROR(VLOOKUP(DP$6,Hoja1!$F$2:$XFD$61,BH41+4,FALSE),0)</f>
        <v/>
      </c>
      <c r="DQ41">
        <f>IFERROR(VLOOKUP(DQ$6,Hoja1!$F$2:$XFD$61,BI41+4,FALSE),0)</f>
        <v/>
      </c>
      <c r="DR41">
        <f>IFERROR(VLOOKUP(DR$6,Hoja1!$F$2:$XFD$61,BJ41+4,FALSE),0)</f>
        <v/>
      </c>
      <c r="DS41">
        <f>IFERROR(VLOOKUP(DS$6,Hoja1!$F$2:$XFD$61,BK41+4,FALSE),0)</f>
        <v/>
      </c>
      <c r="DT41">
        <f>IFERROR(VLOOKUP(DT$6,Hoja1!$F$2:$XFD$61,BL41+4,FALSE),0)</f>
        <v/>
      </c>
      <c r="DU41" s="15">
        <f>IF(COUNT(E41:BL41)=$DV$7,IF(D41="","indique grupo",SUM(BM41:DT41)),"")</f>
        <v/>
      </c>
      <c r="DV41" s="16">
        <f>IF(D41&lt;&gt;"",IF(DU41="","",IF(DU41&gt;=$DU$7*Hoja1!$E$2,4+3/($DU$7*(1-Hoja1!$E$2))*(DU41-$DU$7*Hoja1!$E$2),1+3/($DU$7*Hoja1!$E$2)*DU41)),DU41)</f>
        <v/>
      </c>
      <c r="DW41" s="47" t="b">
        <v>0</v>
      </c>
    </row>
    <row r="42" ht="23.25" customHeight="1">
      <c r="A42" s="17" t="n">
        <v>33</v>
      </c>
      <c r="B42" s="18" t="inlineStr">
        <is>
          <t>VERA CASANOVA DIEGO IGNACIO</t>
        </is>
      </c>
      <c r="C42" s="18" t="inlineStr">
        <is>
          <t>200018265</t>
        </is>
      </c>
      <c r="D42" s="1" t="n"/>
      <c r="E42" s="28" t="n"/>
      <c r="F42" s="19" t="n"/>
      <c r="G42" s="19" t="n"/>
      <c r="H42" s="19" t="n"/>
      <c r="I42" s="19" t="n"/>
      <c r="J42" s="19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  <c r="X42" s="19" t="n"/>
      <c r="Y42" s="19" t="n"/>
      <c r="Z42" s="19" t="n"/>
      <c r="AA42" s="19" t="n"/>
      <c r="AB42" s="19" t="n"/>
      <c r="AC42" s="19" t="n"/>
      <c r="AD42" s="19" t="n"/>
      <c r="AE42" s="19" t="n"/>
      <c r="AF42" s="19" t="n"/>
      <c r="AG42" s="19" t="n"/>
      <c r="AH42" s="19" t="n"/>
      <c r="AI42" s="19" t="n"/>
      <c r="AJ42" s="19" t="n"/>
      <c r="AK42" s="19" t="n"/>
      <c r="AL42" s="19" t="n"/>
      <c r="AM42" s="19" t="n"/>
      <c r="AN42" s="19" t="n"/>
      <c r="AO42" s="19" t="n"/>
      <c r="AP42" s="19" t="n"/>
      <c r="AQ42" s="19" t="n"/>
      <c r="AR42" s="19" t="n"/>
      <c r="AS42" s="19" t="n"/>
      <c r="AT42" s="19" t="n"/>
      <c r="AU42" s="19" t="n"/>
      <c r="AV42" s="19" t="n"/>
      <c r="AW42" s="19" t="n"/>
      <c r="AX42" s="19" t="n"/>
      <c r="AY42" s="19" t="n"/>
      <c r="AZ42" s="19" t="n"/>
      <c r="BA42" s="19" t="n"/>
      <c r="BB42" s="19" t="n"/>
      <c r="BC42" s="19" t="n"/>
      <c r="BD42" s="19" t="n"/>
      <c r="BE42" s="19" t="n"/>
      <c r="BF42" s="19" t="n"/>
      <c r="BG42" s="19" t="n"/>
      <c r="BH42" s="19" t="n"/>
      <c r="BI42" s="19" t="n"/>
      <c r="BJ42" s="19" t="n"/>
      <c r="BK42" s="19" t="n"/>
      <c r="BL42" s="29" t="n"/>
      <c r="BM42">
        <f>IFERROR(VLOOKUP(BM$6,Hoja1!$F$2:$XFD$61,E42+4,FALSE),0)</f>
        <v/>
      </c>
      <c r="BN42">
        <f>IFERROR(VLOOKUP(BN$6,Hoja1!$F$2:$XFD$61,F42+4,FALSE),0)</f>
        <v/>
      </c>
      <c r="BO42">
        <f>IFERROR(VLOOKUP(BO$6,Hoja1!$F$2:$XFD$61,G42+4,FALSE),0)</f>
        <v/>
      </c>
      <c r="BP42">
        <f>IFERROR(VLOOKUP(BP$6,Hoja1!$F$2:$XFD$61,H42+4,FALSE),0)</f>
        <v/>
      </c>
      <c r="BQ42">
        <f>IFERROR(VLOOKUP(BQ$6,Hoja1!$F$2:$XFD$61,I42+4,FALSE),0)</f>
        <v/>
      </c>
      <c r="BR42">
        <f>IFERROR(VLOOKUP(BR$6,Hoja1!$F$2:$XFD$61,J42+4,FALSE),0)</f>
        <v/>
      </c>
      <c r="BS42">
        <f>IFERROR(VLOOKUP(BS$6,Hoja1!$F$2:$XFD$61,K42+4,FALSE),0)</f>
        <v/>
      </c>
      <c r="BT42">
        <f>IFERROR(VLOOKUP(BT$6,Hoja1!$F$2:$XFD$61,L42+4,FALSE),0)</f>
        <v/>
      </c>
      <c r="BU42">
        <f>IFERROR(VLOOKUP(BU$6,Hoja1!$F$2:$XFD$61,M42+4,FALSE),0)</f>
        <v/>
      </c>
      <c r="BV42">
        <f>IFERROR(VLOOKUP(BV$6,Hoja1!$F$2:$XFD$61,N42+4,FALSE),0)</f>
        <v/>
      </c>
      <c r="BW42">
        <f>IFERROR(VLOOKUP(BW$6,Hoja1!$F$2:$XFD$61,O42+4,FALSE),0)</f>
        <v/>
      </c>
      <c r="BX42">
        <f>IFERROR(VLOOKUP(BX$6,Hoja1!$F$2:$XFD$61,P42+4,FALSE),0)</f>
        <v/>
      </c>
      <c r="BY42">
        <f>IFERROR(VLOOKUP(BY$6,Hoja1!$F$2:$XFD$61,Q42+4,FALSE),0)</f>
        <v/>
      </c>
      <c r="BZ42">
        <f>IFERROR(VLOOKUP(BZ$6,Hoja1!$F$2:$XFD$61,R42+4,FALSE),0)</f>
        <v/>
      </c>
      <c r="CA42">
        <f>IFERROR(VLOOKUP(CA$6,Hoja1!$F$2:$XFD$61,S42+4,FALSE),0)</f>
        <v/>
      </c>
      <c r="CB42">
        <f>IFERROR(VLOOKUP(CB$6,Hoja1!$F$2:$XFD$61,T42+4,FALSE),0)</f>
        <v/>
      </c>
      <c r="CC42">
        <f>IFERROR(VLOOKUP(CC$6,Hoja1!$F$2:$XFD$61,U42+4,FALSE),0)</f>
        <v/>
      </c>
      <c r="CD42">
        <f>IFERROR(VLOOKUP(CD$6,Hoja1!$F$2:$XFD$61,V42+4,FALSE),0)</f>
        <v/>
      </c>
      <c r="CE42">
        <f>IFERROR(VLOOKUP(CE$6,Hoja1!$F$2:$XFD$61,W42+4,FALSE),0)</f>
        <v/>
      </c>
      <c r="CF42">
        <f>IFERROR(VLOOKUP(CF$6,Hoja1!$F$2:$XFD$61,X42+4,FALSE),0)</f>
        <v/>
      </c>
      <c r="CG42">
        <f>IFERROR(VLOOKUP(CG$6,Hoja1!$F$2:$XFD$61,Y42+4,FALSE),0)</f>
        <v/>
      </c>
      <c r="CH42">
        <f>IFERROR(VLOOKUP(CH$6,Hoja1!$F$2:$XFD$61,Z42+4,FALSE),0)</f>
        <v/>
      </c>
      <c r="CI42">
        <f>IFERROR(VLOOKUP(CI$6,Hoja1!$F$2:$XFD$61,AA42+4,FALSE),0)</f>
        <v/>
      </c>
      <c r="CJ42">
        <f>IFERROR(VLOOKUP(CJ$6,Hoja1!$F$2:$XFD$61,AB42+4,FALSE),0)</f>
        <v/>
      </c>
      <c r="CK42">
        <f>IFERROR(VLOOKUP(CK$6,Hoja1!$F$2:$XFD$61,AC42+4,FALSE),0)</f>
        <v/>
      </c>
      <c r="CL42">
        <f>IFERROR(VLOOKUP(CL$6,Hoja1!$F$2:$XFD$61,AD42+4,FALSE),0)</f>
        <v/>
      </c>
      <c r="CM42">
        <f>IFERROR(VLOOKUP(CM$6,Hoja1!$F$2:$XFD$61,AE42+4,FALSE),0)</f>
        <v/>
      </c>
      <c r="CN42">
        <f>IFERROR(VLOOKUP(CN$6,Hoja1!$F$2:$XFD$61,AF42+4,FALSE),0)</f>
        <v/>
      </c>
      <c r="CO42">
        <f>IFERROR(VLOOKUP(CO$6,Hoja1!$F$2:$XFD$61,AG42+4,FALSE),0)</f>
        <v/>
      </c>
      <c r="CP42">
        <f>IFERROR(VLOOKUP(CP$6,Hoja1!$F$2:$XFD$61,AH42+4,FALSE),0)</f>
        <v/>
      </c>
      <c r="CQ42">
        <f>IFERROR(VLOOKUP(CQ$6,Hoja1!$F$2:$XFD$61,AI42+4,FALSE),0)</f>
        <v/>
      </c>
      <c r="CR42">
        <f>IFERROR(VLOOKUP(CR$6,Hoja1!$F$2:$XFD$61,AJ42+4,FALSE),0)</f>
        <v/>
      </c>
      <c r="CS42">
        <f>IFERROR(VLOOKUP(CS$6,Hoja1!$F$2:$XFD$61,AK42+4,FALSE),0)</f>
        <v/>
      </c>
      <c r="CT42">
        <f>IFERROR(VLOOKUP(CT$6,Hoja1!$F$2:$XFD$61,AL42+4,FALSE),0)</f>
        <v/>
      </c>
      <c r="CU42">
        <f>IFERROR(VLOOKUP(CU$6,Hoja1!$F$2:$XFD$61,AM42+4,FALSE),0)</f>
        <v/>
      </c>
      <c r="CV42">
        <f>IFERROR(VLOOKUP(CV$6,Hoja1!$F$2:$XFD$61,AN42+4,FALSE),0)</f>
        <v/>
      </c>
      <c r="CW42">
        <f>IFERROR(VLOOKUP(CW$6,Hoja1!$F$2:$XFD$61,AO42+4,FALSE),0)</f>
        <v/>
      </c>
      <c r="CX42">
        <f>IFERROR(VLOOKUP(CX$6,Hoja1!$F$2:$XFD$61,AP42+4,FALSE),0)</f>
        <v/>
      </c>
      <c r="CY42">
        <f>IFERROR(VLOOKUP(CY$6,Hoja1!$F$2:$XFD$61,AQ42+4,FALSE),0)</f>
        <v/>
      </c>
      <c r="CZ42">
        <f>IFERROR(VLOOKUP(CZ$6,Hoja1!$F$2:$XFD$61,AR42+4,FALSE),0)</f>
        <v/>
      </c>
      <c r="DA42">
        <f>IFERROR(VLOOKUP(DA$6,Hoja1!$F$2:$XFD$61,AS42+4,FALSE),0)</f>
        <v/>
      </c>
      <c r="DB42">
        <f>IFERROR(VLOOKUP(DB$6,Hoja1!$F$2:$XFD$61,AT42+4,FALSE),0)</f>
        <v/>
      </c>
      <c r="DC42">
        <f>IFERROR(VLOOKUP(DC$6,Hoja1!$F$2:$XFD$61,AU42+4,FALSE),0)</f>
        <v/>
      </c>
      <c r="DD42">
        <f>IFERROR(VLOOKUP(DD$6,Hoja1!$F$2:$XFD$61,AV42+4,FALSE),0)</f>
        <v/>
      </c>
      <c r="DE42">
        <f>IFERROR(VLOOKUP(DE$6,Hoja1!$F$2:$XFD$61,AW42+4,FALSE),0)</f>
        <v/>
      </c>
      <c r="DF42">
        <f>IFERROR(VLOOKUP(DF$6,Hoja1!$F$2:$XFD$61,AX42+4,FALSE),0)</f>
        <v/>
      </c>
      <c r="DG42">
        <f>IFERROR(VLOOKUP(DG$6,Hoja1!$F$2:$XFD$61,AY42+4,FALSE),0)</f>
        <v/>
      </c>
      <c r="DH42">
        <f>IFERROR(VLOOKUP(DH$6,Hoja1!$F$2:$XFD$61,AZ42+4,FALSE),0)</f>
        <v/>
      </c>
      <c r="DI42">
        <f>IFERROR(VLOOKUP(DI$6,Hoja1!$F$2:$XFD$61,BA42+4,FALSE),0)</f>
        <v/>
      </c>
      <c r="DJ42">
        <f>IFERROR(VLOOKUP(DJ$6,Hoja1!$F$2:$XFD$61,BB42+4,FALSE),0)</f>
        <v/>
      </c>
      <c r="DK42">
        <f>IFERROR(VLOOKUP(DK$6,Hoja1!$F$2:$XFD$61,BC42+4,FALSE),0)</f>
        <v/>
      </c>
      <c r="DL42">
        <f>IFERROR(VLOOKUP(DL$6,Hoja1!$F$2:$XFD$61,BD42+4,FALSE),0)</f>
        <v/>
      </c>
      <c r="DM42">
        <f>IFERROR(VLOOKUP(DM$6,Hoja1!$F$2:$XFD$61,BE42+4,FALSE),0)</f>
        <v/>
      </c>
      <c r="DN42">
        <f>IFERROR(VLOOKUP(DN$6,Hoja1!$F$2:$XFD$61,BF42+4,FALSE),0)</f>
        <v/>
      </c>
      <c r="DO42">
        <f>IFERROR(VLOOKUP(DO$6,Hoja1!$F$2:$XFD$61,BG42+4,FALSE),0)</f>
        <v/>
      </c>
      <c r="DP42">
        <f>IFERROR(VLOOKUP(DP$6,Hoja1!$F$2:$XFD$61,BH42+4,FALSE),0)</f>
        <v/>
      </c>
      <c r="DQ42">
        <f>IFERROR(VLOOKUP(DQ$6,Hoja1!$F$2:$XFD$61,BI42+4,FALSE),0)</f>
        <v/>
      </c>
      <c r="DR42">
        <f>IFERROR(VLOOKUP(DR$6,Hoja1!$F$2:$XFD$61,BJ42+4,FALSE),0)</f>
        <v/>
      </c>
      <c r="DS42">
        <f>IFERROR(VLOOKUP(DS$6,Hoja1!$F$2:$XFD$61,BK42+4,FALSE),0)</f>
        <v/>
      </c>
      <c r="DT42">
        <f>IFERROR(VLOOKUP(DT$6,Hoja1!$F$2:$XFD$61,BL42+4,FALSE),0)</f>
        <v/>
      </c>
      <c r="DU42" s="15">
        <f>IF(COUNT(E42:BL42)=$DV$7,IF(D42="","indique grupo",SUM(BM42:DT42)),"")</f>
        <v/>
      </c>
      <c r="DV42" s="16">
        <f>IF(D42&lt;&gt;"",IF(DU42="","",IF(DU42&gt;=$DU$7*Hoja1!$E$2,4+3/($DU$7*(1-Hoja1!$E$2))*(DU42-$DU$7*Hoja1!$E$2),1+3/($DU$7*Hoja1!$E$2)*DU42)),DU42)</f>
        <v/>
      </c>
      <c r="DW42" s="47" t="b">
        <v>0</v>
      </c>
    </row>
    <row r="43" ht="23.25" customHeight="1">
      <c r="A43" s="17" t="n">
        <v>34</v>
      </c>
      <c r="B43" s="18" t="inlineStr">
        <is>
          <t>YANEZ ALARCON ISIDORA CATALINA</t>
        </is>
      </c>
      <c r="C43" s="18" t="inlineStr">
        <is>
          <t>217688949</t>
        </is>
      </c>
      <c r="D43" s="1" t="n"/>
      <c r="E43" s="28" t="n"/>
      <c r="F43" s="19" t="n"/>
      <c r="G43" s="19" t="n"/>
      <c r="H43" s="19" t="n"/>
      <c r="I43" s="19" t="n"/>
      <c r="J43" s="19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  <c r="X43" s="19" t="n"/>
      <c r="Y43" s="19" t="n"/>
      <c r="Z43" s="19" t="n"/>
      <c r="AA43" s="19" t="n"/>
      <c r="AB43" s="19" t="n"/>
      <c r="AC43" s="19" t="n"/>
      <c r="AD43" s="19" t="n"/>
      <c r="AE43" s="19" t="n"/>
      <c r="AF43" s="19" t="n"/>
      <c r="AG43" s="19" t="n"/>
      <c r="AH43" s="19" t="n"/>
      <c r="AI43" s="19" t="n"/>
      <c r="AJ43" s="19" t="n"/>
      <c r="AK43" s="19" t="n"/>
      <c r="AL43" s="19" t="n"/>
      <c r="AM43" s="19" t="n"/>
      <c r="AN43" s="19" t="n"/>
      <c r="AO43" s="19" t="n"/>
      <c r="AP43" s="19" t="n"/>
      <c r="AQ43" s="19" t="n"/>
      <c r="AR43" s="19" t="n"/>
      <c r="AS43" s="19" t="n"/>
      <c r="AT43" s="19" t="n"/>
      <c r="AU43" s="19" t="n"/>
      <c r="AV43" s="19" t="n"/>
      <c r="AW43" s="19" t="n"/>
      <c r="AX43" s="19" t="n"/>
      <c r="AY43" s="19" t="n"/>
      <c r="AZ43" s="19" t="n"/>
      <c r="BA43" s="19" t="n"/>
      <c r="BB43" s="19" t="n"/>
      <c r="BC43" s="19" t="n"/>
      <c r="BD43" s="19" t="n"/>
      <c r="BE43" s="19" t="n"/>
      <c r="BF43" s="19" t="n"/>
      <c r="BG43" s="19" t="n"/>
      <c r="BH43" s="19" t="n"/>
      <c r="BI43" s="19" t="n"/>
      <c r="BJ43" s="19" t="n"/>
      <c r="BK43" s="19" t="n"/>
      <c r="BL43" s="29" t="n"/>
      <c r="BM43">
        <f>IFERROR(VLOOKUP(BM$6,Hoja1!$F$2:$XFD$61,E43+4,FALSE),0)</f>
        <v/>
      </c>
      <c r="BN43">
        <f>IFERROR(VLOOKUP(BN$6,Hoja1!$F$2:$XFD$61,F43+4,FALSE),0)</f>
        <v/>
      </c>
      <c r="BO43">
        <f>IFERROR(VLOOKUP(BO$6,Hoja1!$F$2:$XFD$61,G43+4,FALSE),0)</f>
        <v/>
      </c>
      <c r="BP43">
        <f>IFERROR(VLOOKUP(BP$6,Hoja1!$F$2:$XFD$61,H43+4,FALSE),0)</f>
        <v/>
      </c>
      <c r="BQ43">
        <f>IFERROR(VLOOKUP(BQ$6,Hoja1!$F$2:$XFD$61,I43+4,FALSE),0)</f>
        <v/>
      </c>
      <c r="BR43">
        <f>IFERROR(VLOOKUP(BR$6,Hoja1!$F$2:$XFD$61,J43+4,FALSE),0)</f>
        <v/>
      </c>
      <c r="BS43">
        <f>IFERROR(VLOOKUP(BS$6,Hoja1!$F$2:$XFD$61,K43+4,FALSE),0)</f>
        <v/>
      </c>
      <c r="BT43">
        <f>IFERROR(VLOOKUP(BT$6,Hoja1!$F$2:$XFD$61,L43+4,FALSE),0)</f>
        <v/>
      </c>
      <c r="BU43">
        <f>IFERROR(VLOOKUP(BU$6,Hoja1!$F$2:$XFD$61,M43+4,FALSE),0)</f>
        <v/>
      </c>
      <c r="BV43">
        <f>IFERROR(VLOOKUP(BV$6,Hoja1!$F$2:$XFD$61,N43+4,FALSE),0)</f>
        <v/>
      </c>
      <c r="BW43">
        <f>IFERROR(VLOOKUP(BW$6,Hoja1!$F$2:$XFD$61,O43+4,FALSE),0)</f>
        <v/>
      </c>
      <c r="BX43">
        <f>IFERROR(VLOOKUP(BX$6,Hoja1!$F$2:$XFD$61,P43+4,FALSE),0)</f>
        <v/>
      </c>
      <c r="BY43">
        <f>IFERROR(VLOOKUP(BY$6,Hoja1!$F$2:$XFD$61,Q43+4,FALSE),0)</f>
        <v/>
      </c>
      <c r="BZ43">
        <f>IFERROR(VLOOKUP(BZ$6,Hoja1!$F$2:$XFD$61,R43+4,FALSE),0)</f>
        <v/>
      </c>
      <c r="CA43">
        <f>IFERROR(VLOOKUP(CA$6,Hoja1!$F$2:$XFD$61,S43+4,FALSE),0)</f>
        <v/>
      </c>
      <c r="CB43">
        <f>IFERROR(VLOOKUP(CB$6,Hoja1!$F$2:$XFD$61,T43+4,FALSE),0)</f>
        <v/>
      </c>
      <c r="CC43">
        <f>IFERROR(VLOOKUP(CC$6,Hoja1!$F$2:$XFD$61,U43+4,FALSE),0)</f>
        <v/>
      </c>
      <c r="CD43">
        <f>IFERROR(VLOOKUP(CD$6,Hoja1!$F$2:$XFD$61,V43+4,FALSE),0)</f>
        <v/>
      </c>
      <c r="CE43">
        <f>IFERROR(VLOOKUP(CE$6,Hoja1!$F$2:$XFD$61,W43+4,FALSE),0)</f>
        <v/>
      </c>
      <c r="CF43">
        <f>IFERROR(VLOOKUP(CF$6,Hoja1!$F$2:$XFD$61,X43+4,FALSE),0)</f>
        <v/>
      </c>
      <c r="CG43">
        <f>IFERROR(VLOOKUP(CG$6,Hoja1!$F$2:$XFD$61,Y43+4,FALSE),0)</f>
        <v/>
      </c>
      <c r="CH43">
        <f>IFERROR(VLOOKUP(CH$6,Hoja1!$F$2:$XFD$61,Z43+4,FALSE),0)</f>
        <v/>
      </c>
      <c r="CI43">
        <f>IFERROR(VLOOKUP(CI$6,Hoja1!$F$2:$XFD$61,AA43+4,FALSE),0)</f>
        <v/>
      </c>
      <c r="CJ43">
        <f>IFERROR(VLOOKUP(CJ$6,Hoja1!$F$2:$XFD$61,AB43+4,FALSE),0)</f>
        <v/>
      </c>
      <c r="CK43">
        <f>IFERROR(VLOOKUP(CK$6,Hoja1!$F$2:$XFD$61,AC43+4,FALSE),0)</f>
        <v/>
      </c>
      <c r="CL43">
        <f>IFERROR(VLOOKUP(CL$6,Hoja1!$F$2:$XFD$61,AD43+4,FALSE),0)</f>
        <v/>
      </c>
      <c r="CM43">
        <f>IFERROR(VLOOKUP(CM$6,Hoja1!$F$2:$XFD$61,AE43+4,FALSE),0)</f>
        <v/>
      </c>
      <c r="CN43">
        <f>IFERROR(VLOOKUP(CN$6,Hoja1!$F$2:$XFD$61,AF43+4,FALSE),0)</f>
        <v/>
      </c>
      <c r="CO43">
        <f>IFERROR(VLOOKUP(CO$6,Hoja1!$F$2:$XFD$61,AG43+4,FALSE),0)</f>
        <v/>
      </c>
      <c r="CP43">
        <f>IFERROR(VLOOKUP(CP$6,Hoja1!$F$2:$XFD$61,AH43+4,FALSE),0)</f>
        <v/>
      </c>
      <c r="CQ43">
        <f>IFERROR(VLOOKUP(CQ$6,Hoja1!$F$2:$XFD$61,AI43+4,FALSE),0)</f>
        <v/>
      </c>
      <c r="CR43">
        <f>IFERROR(VLOOKUP(CR$6,Hoja1!$F$2:$XFD$61,AJ43+4,FALSE),0)</f>
        <v/>
      </c>
      <c r="CS43">
        <f>IFERROR(VLOOKUP(CS$6,Hoja1!$F$2:$XFD$61,AK43+4,FALSE),0)</f>
        <v/>
      </c>
      <c r="CT43">
        <f>IFERROR(VLOOKUP(CT$6,Hoja1!$F$2:$XFD$61,AL43+4,FALSE),0)</f>
        <v/>
      </c>
      <c r="CU43">
        <f>IFERROR(VLOOKUP(CU$6,Hoja1!$F$2:$XFD$61,AM43+4,FALSE),0)</f>
        <v/>
      </c>
      <c r="CV43">
        <f>IFERROR(VLOOKUP(CV$6,Hoja1!$F$2:$XFD$61,AN43+4,FALSE),0)</f>
        <v/>
      </c>
      <c r="CW43">
        <f>IFERROR(VLOOKUP(CW$6,Hoja1!$F$2:$XFD$61,AO43+4,FALSE),0)</f>
        <v/>
      </c>
      <c r="CX43">
        <f>IFERROR(VLOOKUP(CX$6,Hoja1!$F$2:$XFD$61,AP43+4,FALSE),0)</f>
        <v/>
      </c>
      <c r="CY43">
        <f>IFERROR(VLOOKUP(CY$6,Hoja1!$F$2:$XFD$61,AQ43+4,FALSE),0)</f>
        <v/>
      </c>
      <c r="CZ43">
        <f>IFERROR(VLOOKUP(CZ$6,Hoja1!$F$2:$XFD$61,AR43+4,FALSE),0)</f>
        <v/>
      </c>
      <c r="DA43">
        <f>IFERROR(VLOOKUP(DA$6,Hoja1!$F$2:$XFD$61,AS43+4,FALSE),0)</f>
        <v/>
      </c>
      <c r="DB43">
        <f>IFERROR(VLOOKUP(DB$6,Hoja1!$F$2:$XFD$61,AT43+4,FALSE),0)</f>
        <v/>
      </c>
      <c r="DC43">
        <f>IFERROR(VLOOKUP(DC$6,Hoja1!$F$2:$XFD$61,AU43+4,FALSE),0)</f>
        <v/>
      </c>
      <c r="DD43">
        <f>IFERROR(VLOOKUP(DD$6,Hoja1!$F$2:$XFD$61,AV43+4,FALSE),0)</f>
        <v/>
      </c>
      <c r="DE43">
        <f>IFERROR(VLOOKUP(DE$6,Hoja1!$F$2:$XFD$61,AW43+4,FALSE),0)</f>
        <v/>
      </c>
      <c r="DF43">
        <f>IFERROR(VLOOKUP(DF$6,Hoja1!$F$2:$XFD$61,AX43+4,FALSE),0)</f>
        <v/>
      </c>
      <c r="DG43">
        <f>IFERROR(VLOOKUP(DG$6,Hoja1!$F$2:$XFD$61,AY43+4,FALSE),0)</f>
        <v/>
      </c>
      <c r="DH43">
        <f>IFERROR(VLOOKUP(DH$6,Hoja1!$F$2:$XFD$61,AZ43+4,FALSE),0)</f>
        <v/>
      </c>
      <c r="DI43">
        <f>IFERROR(VLOOKUP(DI$6,Hoja1!$F$2:$XFD$61,BA43+4,FALSE),0)</f>
        <v/>
      </c>
      <c r="DJ43">
        <f>IFERROR(VLOOKUP(DJ$6,Hoja1!$F$2:$XFD$61,BB43+4,FALSE),0)</f>
        <v/>
      </c>
      <c r="DK43">
        <f>IFERROR(VLOOKUP(DK$6,Hoja1!$F$2:$XFD$61,BC43+4,FALSE),0)</f>
        <v/>
      </c>
      <c r="DL43">
        <f>IFERROR(VLOOKUP(DL$6,Hoja1!$F$2:$XFD$61,BD43+4,FALSE),0)</f>
        <v/>
      </c>
      <c r="DM43">
        <f>IFERROR(VLOOKUP(DM$6,Hoja1!$F$2:$XFD$61,BE43+4,FALSE),0)</f>
        <v/>
      </c>
      <c r="DN43">
        <f>IFERROR(VLOOKUP(DN$6,Hoja1!$F$2:$XFD$61,BF43+4,FALSE),0)</f>
        <v/>
      </c>
      <c r="DO43">
        <f>IFERROR(VLOOKUP(DO$6,Hoja1!$F$2:$XFD$61,BG43+4,FALSE),0)</f>
        <v/>
      </c>
      <c r="DP43">
        <f>IFERROR(VLOOKUP(DP$6,Hoja1!$F$2:$XFD$61,BH43+4,FALSE),0)</f>
        <v/>
      </c>
      <c r="DQ43">
        <f>IFERROR(VLOOKUP(DQ$6,Hoja1!$F$2:$XFD$61,BI43+4,FALSE),0)</f>
        <v/>
      </c>
      <c r="DR43">
        <f>IFERROR(VLOOKUP(DR$6,Hoja1!$F$2:$XFD$61,BJ43+4,FALSE),0)</f>
        <v/>
      </c>
      <c r="DS43">
        <f>IFERROR(VLOOKUP(DS$6,Hoja1!$F$2:$XFD$61,BK43+4,FALSE),0)</f>
        <v/>
      </c>
      <c r="DT43">
        <f>IFERROR(VLOOKUP(DT$6,Hoja1!$F$2:$XFD$61,BL43+4,FALSE),0)</f>
        <v/>
      </c>
      <c r="DU43" s="15">
        <f>IF(COUNT(E43:BL43)=$DV$7,IF(D43="","indique grupo",SUM(BM43:DT43)),"")</f>
        <v/>
      </c>
      <c r="DV43" s="16">
        <f>IF(D43&lt;&gt;"",IF(DU43="","",IF(DU43&gt;=$DU$7*Hoja1!$E$2,4+3/($DU$7*(1-Hoja1!$E$2))*(DU43-$DU$7*Hoja1!$E$2),1+3/($DU$7*Hoja1!$E$2)*DU43)),DU43)</f>
        <v/>
      </c>
      <c r="DW43" s="47" t="b">
        <v>0</v>
      </c>
    </row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2024-05-03T14:11:05Z</dcterms:modified>
  <cp:lastModifiedBy>Leandro Gutierrez A.</cp:lastModifiedBy>
  <cp:lastPrinted>2012-11-30T22:55:58Z</cp:lastPrinted>
</cp:coreProperties>
</file>