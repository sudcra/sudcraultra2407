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dcraultra\templates\"/>
    </mc:Choice>
  </mc:AlternateContent>
  <xr:revisionPtr revIDLastSave="0" documentId="13_ncr:1_{3F238764-7047-40AC-B09F-984568CD294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VA_EMP1101-006D" sheetId="1" r:id="rId1"/>
    <sheet name="Hoja1" sheetId="2" r:id="rId2"/>
    <sheet name="escala" sheetId="3" r:id="rId3"/>
    <sheet name="item" sheetId="4" r:id="rId4"/>
    <sheet name="datos" sheetId="6" r:id="rId5"/>
    <sheet name="Eval" sheetId="5" r:id="rId6"/>
  </sheets>
  <definedNames>
    <definedName name="_xlnm._FilterDatabase" localSheetId="3" hidden="1">item!$A$1:$I$37</definedName>
    <definedName name="_xlnm.Print_Area" localSheetId="0">'VA_EMP1101-006D'!$A$1:$AK$66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" i="6" l="1"/>
  <c r="B2" i="1"/>
  <c r="J2" i="6" l="1"/>
  <c r="K2" i="6"/>
  <c r="I1" i="2" l="1"/>
  <c r="E1" i="6" a="1"/>
  <c r="E1" i="6" s="1"/>
  <c r="B1" i="6" a="1"/>
  <c r="B1" i="6" s="1"/>
  <c r="A1" i="6" a="1"/>
  <c r="A1" i="6" s="1"/>
  <c r="D2" i="6" a="1"/>
  <c r="F2" i="6" a="1"/>
  <c r="C2" i="6" a="1"/>
  <c r="G2" i="6" a="1"/>
  <c r="G2" i="6" l="1"/>
  <c r="C2" i="6"/>
  <c r="F2" i="6"/>
  <c r="D2" i="6"/>
  <c r="D2" i="2" a="1"/>
  <c r="D5" i="2" s="1"/>
  <c r="L63" i="2"/>
  <c r="M63" i="2"/>
  <c r="N63" i="2"/>
  <c r="P63" i="2"/>
  <c r="Q63" i="2"/>
  <c r="R63" i="2"/>
  <c r="S63" i="2"/>
  <c r="L64" i="2"/>
  <c r="M64" i="2"/>
  <c r="N64" i="2"/>
  <c r="P64" i="2"/>
  <c r="Q64" i="2"/>
  <c r="R64" i="2"/>
  <c r="S64" i="2"/>
  <c r="L65" i="2"/>
  <c r="M65" i="2"/>
  <c r="N65" i="2"/>
  <c r="P65" i="2"/>
  <c r="Q65" i="2"/>
  <c r="R65" i="2"/>
  <c r="S65" i="2"/>
  <c r="L66" i="2"/>
  <c r="M66" i="2"/>
  <c r="N66" i="2"/>
  <c r="P66" i="2"/>
  <c r="Q66" i="2"/>
  <c r="R66" i="2"/>
  <c r="S66" i="2"/>
  <c r="L67" i="2"/>
  <c r="M67" i="2"/>
  <c r="N67" i="2"/>
  <c r="P67" i="2"/>
  <c r="Q67" i="2"/>
  <c r="R67" i="2"/>
  <c r="S67" i="2"/>
  <c r="L68" i="2"/>
  <c r="M68" i="2"/>
  <c r="N68" i="2"/>
  <c r="P68" i="2"/>
  <c r="Q68" i="2"/>
  <c r="R68" i="2"/>
  <c r="S68" i="2"/>
  <c r="J69" i="2"/>
  <c r="K69" i="2"/>
  <c r="L69" i="2"/>
  <c r="M69" i="2"/>
  <c r="N69" i="2"/>
  <c r="O69" i="2"/>
  <c r="P69" i="2"/>
  <c r="Q69" i="2"/>
  <c r="R69" i="2"/>
  <c r="S69" i="2"/>
  <c r="J70" i="2"/>
  <c r="K70" i="2"/>
  <c r="L70" i="2"/>
  <c r="M70" i="2"/>
  <c r="N70" i="2"/>
  <c r="O70" i="2"/>
  <c r="P70" i="2"/>
  <c r="Q70" i="2"/>
  <c r="R70" i="2"/>
  <c r="S70" i="2"/>
  <c r="J71" i="2"/>
  <c r="K71" i="2"/>
  <c r="L71" i="2"/>
  <c r="M71" i="2"/>
  <c r="N71" i="2"/>
  <c r="O71" i="2"/>
  <c r="P71" i="2"/>
  <c r="Q71" i="2"/>
  <c r="R71" i="2"/>
  <c r="S71" i="2"/>
  <c r="J72" i="2"/>
  <c r="K72" i="2"/>
  <c r="L72" i="2"/>
  <c r="M72" i="2"/>
  <c r="N72" i="2"/>
  <c r="O72" i="2"/>
  <c r="P72" i="2"/>
  <c r="Q72" i="2"/>
  <c r="R72" i="2"/>
  <c r="S72" i="2"/>
  <c r="J73" i="2"/>
  <c r="K73" i="2"/>
  <c r="L73" i="2"/>
  <c r="M73" i="2"/>
  <c r="N73" i="2"/>
  <c r="O73" i="2"/>
  <c r="P73" i="2"/>
  <c r="Q73" i="2"/>
  <c r="R73" i="2"/>
  <c r="S73" i="2"/>
  <c r="J74" i="2"/>
  <c r="K74" i="2"/>
  <c r="L74" i="2"/>
  <c r="M74" i="2"/>
  <c r="N74" i="2"/>
  <c r="O74" i="2"/>
  <c r="P74" i="2"/>
  <c r="Q74" i="2"/>
  <c r="R74" i="2"/>
  <c r="S74" i="2"/>
  <c r="J75" i="2"/>
  <c r="K75" i="2"/>
  <c r="L75" i="2"/>
  <c r="M75" i="2"/>
  <c r="N75" i="2"/>
  <c r="O75" i="2"/>
  <c r="P75" i="2"/>
  <c r="Q75" i="2"/>
  <c r="R75" i="2"/>
  <c r="S75" i="2"/>
  <c r="J76" i="2"/>
  <c r="K76" i="2"/>
  <c r="L76" i="2"/>
  <c r="M76" i="2"/>
  <c r="N76" i="2"/>
  <c r="O76" i="2"/>
  <c r="P76" i="2"/>
  <c r="Q76" i="2"/>
  <c r="R76" i="2"/>
  <c r="S76" i="2"/>
  <c r="J77" i="2"/>
  <c r="K77" i="2"/>
  <c r="L77" i="2"/>
  <c r="M77" i="2"/>
  <c r="N77" i="2"/>
  <c r="O77" i="2"/>
  <c r="P77" i="2"/>
  <c r="Q77" i="2"/>
  <c r="R77" i="2"/>
  <c r="S77" i="2"/>
  <c r="J78" i="2"/>
  <c r="K78" i="2"/>
  <c r="L78" i="2"/>
  <c r="M78" i="2"/>
  <c r="N78" i="2"/>
  <c r="O78" i="2"/>
  <c r="P78" i="2"/>
  <c r="Q78" i="2"/>
  <c r="R78" i="2"/>
  <c r="S78" i="2"/>
  <c r="J79" i="2"/>
  <c r="K79" i="2"/>
  <c r="L79" i="2"/>
  <c r="M79" i="2"/>
  <c r="N79" i="2"/>
  <c r="O79" i="2"/>
  <c r="P79" i="2"/>
  <c r="Q79" i="2"/>
  <c r="R79" i="2"/>
  <c r="S79" i="2"/>
  <c r="J80" i="2"/>
  <c r="K80" i="2"/>
  <c r="L80" i="2"/>
  <c r="M80" i="2"/>
  <c r="N80" i="2"/>
  <c r="O80" i="2"/>
  <c r="P80" i="2"/>
  <c r="Q80" i="2"/>
  <c r="R80" i="2"/>
  <c r="S80" i="2"/>
  <c r="J81" i="2"/>
  <c r="K81" i="2"/>
  <c r="L81" i="2"/>
  <c r="M81" i="2"/>
  <c r="N81" i="2"/>
  <c r="O81" i="2"/>
  <c r="P81" i="2"/>
  <c r="Q81" i="2"/>
  <c r="R81" i="2"/>
  <c r="S81" i="2"/>
  <c r="J82" i="2"/>
  <c r="K82" i="2"/>
  <c r="L82" i="2"/>
  <c r="M82" i="2"/>
  <c r="N82" i="2"/>
  <c r="O82" i="2"/>
  <c r="P82" i="2"/>
  <c r="Q82" i="2"/>
  <c r="R82" i="2"/>
  <c r="S82" i="2"/>
  <c r="J83" i="2"/>
  <c r="K83" i="2"/>
  <c r="L83" i="2"/>
  <c r="M83" i="2"/>
  <c r="N83" i="2"/>
  <c r="O83" i="2"/>
  <c r="P83" i="2"/>
  <c r="Q83" i="2"/>
  <c r="R83" i="2"/>
  <c r="S83" i="2"/>
  <c r="J84" i="2"/>
  <c r="K84" i="2"/>
  <c r="L84" i="2"/>
  <c r="M84" i="2"/>
  <c r="N84" i="2"/>
  <c r="O84" i="2"/>
  <c r="P84" i="2"/>
  <c r="Q84" i="2"/>
  <c r="R84" i="2"/>
  <c r="S84" i="2"/>
  <c r="J85" i="2"/>
  <c r="K85" i="2"/>
  <c r="L85" i="2"/>
  <c r="M85" i="2"/>
  <c r="N85" i="2"/>
  <c r="O85" i="2"/>
  <c r="P85" i="2"/>
  <c r="Q85" i="2"/>
  <c r="R85" i="2"/>
  <c r="S85" i="2"/>
  <c r="J86" i="2"/>
  <c r="K86" i="2"/>
  <c r="L86" i="2"/>
  <c r="M86" i="2"/>
  <c r="N86" i="2"/>
  <c r="O86" i="2"/>
  <c r="P86" i="2"/>
  <c r="Q86" i="2"/>
  <c r="R86" i="2"/>
  <c r="S86" i="2"/>
  <c r="J87" i="2"/>
  <c r="K87" i="2"/>
  <c r="L87" i="2"/>
  <c r="M87" i="2"/>
  <c r="N87" i="2"/>
  <c r="O87" i="2"/>
  <c r="P87" i="2"/>
  <c r="Q87" i="2"/>
  <c r="R87" i="2"/>
  <c r="S87" i="2"/>
  <c r="J88" i="2"/>
  <c r="K88" i="2"/>
  <c r="L88" i="2"/>
  <c r="M88" i="2"/>
  <c r="N88" i="2"/>
  <c r="O88" i="2"/>
  <c r="P88" i="2"/>
  <c r="Q88" i="2"/>
  <c r="R88" i="2"/>
  <c r="S88" i="2"/>
  <c r="J89" i="2"/>
  <c r="K89" i="2"/>
  <c r="L89" i="2"/>
  <c r="M89" i="2"/>
  <c r="N89" i="2"/>
  <c r="O89" i="2"/>
  <c r="P89" i="2"/>
  <c r="Q89" i="2"/>
  <c r="R89" i="2"/>
  <c r="S89" i="2"/>
  <c r="J90" i="2"/>
  <c r="K90" i="2"/>
  <c r="L90" i="2"/>
  <c r="M90" i="2"/>
  <c r="N90" i="2"/>
  <c r="O90" i="2"/>
  <c r="P90" i="2"/>
  <c r="Q90" i="2"/>
  <c r="R90" i="2"/>
  <c r="S90" i="2"/>
  <c r="J91" i="2"/>
  <c r="K91" i="2"/>
  <c r="L91" i="2"/>
  <c r="M91" i="2"/>
  <c r="N91" i="2"/>
  <c r="O91" i="2"/>
  <c r="P91" i="2"/>
  <c r="Q91" i="2"/>
  <c r="R91" i="2"/>
  <c r="S91" i="2"/>
  <c r="J92" i="2"/>
  <c r="K92" i="2"/>
  <c r="L92" i="2"/>
  <c r="M92" i="2"/>
  <c r="N92" i="2"/>
  <c r="O92" i="2"/>
  <c r="P92" i="2"/>
  <c r="Q92" i="2"/>
  <c r="R92" i="2"/>
  <c r="S92" i="2"/>
  <c r="J93" i="2"/>
  <c r="K93" i="2"/>
  <c r="L93" i="2"/>
  <c r="M93" i="2"/>
  <c r="N93" i="2"/>
  <c r="O93" i="2"/>
  <c r="P93" i="2"/>
  <c r="Q93" i="2"/>
  <c r="R93" i="2"/>
  <c r="S93" i="2"/>
  <c r="J94" i="2"/>
  <c r="K94" i="2"/>
  <c r="L94" i="2"/>
  <c r="M94" i="2"/>
  <c r="N94" i="2"/>
  <c r="O94" i="2"/>
  <c r="P94" i="2"/>
  <c r="Q94" i="2"/>
  <c r="R94" i="2"/>
  <c r="S94" i="2"/>
  <c r="J95" i="2"/>
  <c r="K95" i="2"/>
  <c r="L95" i="2"/>
  <c r="M95" i="2"/>
  <c r="N95" i="2"/>
  <c r="O95" i="2"/>
  <c r="P95" i="2"/>
  <c r="Q95" i="2"/>
  <c r="R95" i="2"/>
  <c r="S95" i="2"/>
  <c r="J96" i="2"/>
  <c r="K96" i="2"/>
  <c r="L96" i="2"/>
  <c r="M96" i="2"/>
  <c r="N96" i="2"/>
  <c r="O96" i="2"/>
  <c r="P96" i="2"/>
  <c r="Q96" i="2"/>
  <c r="R96" i="2"/>
  <c r="S96" i="2"/>
  <c r="J97" i="2"/>
  <c r="K97" i="2"/>
  <c r="L97" i="2"/>
  <c r="M97" i="2"/>
  <c r="N97" i="2"/>
  <c r="O97" i="2"/>
  <c r="P97" i="2"/>
  <c r="Q97" i="2"/>
  <c r="R97" i="2"/>
  <c r="S97" i="2"/>
  <c r="J98" i="2"/>
  <c r="K98" i="2"/>
  <c r="L98" i="2"/>
  <c r="M98" i="2"/>
  <c r="N98" i="2"/>
  <c r="O98" i="2"/>
  <c r="P98" i="2"/>
  <c r="Q98" i="2"/>
  <c r="R98" i="2"/>
  <c r="S98" i="2"/>
  <c r="J99" i="2"/>
  <c r="K99" i="2"/>
  <c r="L99" i="2"/>
  <c r="M99" i="2"/>
  <c r="N99" i="2"/>
  <c r="O99" i="2"/>
  <c r="P99" i="2"/>
  <c r="Q99" i="2"/>
  <c r="R99" i="2"/>
  <c r="S99" i="2"/>
  <c r="J100" i="2"/>
  <c r="K100" i="2"/>
  <c r="L100" i="2"/>
  <c r="M100" i="2"/>
  <c r="N100" i="2"/>
  <c r="O100" i="2"/>
  <c r="P100" i="2"/>
  <c r="Q100" i="2"/>
  <c r="R100" i="2"/>
  <c r="S100" i="2"/>
  <c r="J101" i="2"/>
  <c r="K101" i="2"/>
  <c r="L101" i="2"/>
  <c r="M101" i="2"/>
  <c r="N101" i="2"/>
  <c r="O101" i="2"/>
  <c r="P101" i="2"/>
  <c r="Q101" i="2"/>
  <c r="R101" i="2"/>
  <c r="S101" i="2"/>
  <c r="J102" i="2"/>
  <c r="K102" i="2"/>
  <c r="L102" i="2"/>
  <c r="M102" i="2"/>
  <c r="N102" i="2"/>
  <c r="O102" i="2"/>
  <c r="P102" i="2"/>
  <c r="Q102" i="2"/>
  <c r="R102" i="2"/>
  <c r="S102" i="2"/>
  <c r="J103" i="2"/>
  <c r="K103" i="2"/>
  <c r="L103" i="2"/>
  <c r="M103" i="2"/>
  <c r="N103" i="2"/>
  <c r="O103" i="2"/>
  <c r="P103" i="2"/>
  <c r="Q103" i="2"/>
  <c r="R103" i="2"/>
  <c r="S103" i="2"/>
  <c r="J104" i="2"/>
  <c r="K104" i="2"/>
  <c r="L104" i="2"/>
  <c r="M104" i="2"/>
  <c r="N104" i="2"/>
  <c r="O104" i="2"/>
  <c r="P104" i="2"/>
  <c r="Q104" i="2"/>
  <c r="R104" i="2"/>
  <c r="S104" i="2"/>
  <c r="J105" i="2"/>
  <c r="K105" i="2"/>
  <c r="L105" i="2"/>
  <c r="M105" i="2"/>
  <c r="N105" i="2"/>
  <c r="O105" i="2"/>
  <c r="P105" i="2"/>
  <c r="Q105" i="2"/>
  <c r="R105" i="2"/>
  <c r="S105" i="2"/>
  <c r="J106" i="2"/>
  <c r="K106" i="2"/>
  <c r="L106" i="2"/>
  <c r="M106" i="2"/>
  <c r="N106" i="2"/>
  <c r="O106" i="2"/>
  <c r="P106" i="2"/>
  <c r="Q106" i="2"/>
  <c r="R106" i="2"/>
  <c r="S106" i="2"/>
  <c r="J107" i="2"/>
  <c r="K107" i="2"/>
  <c r="L107" i="2"/>
  <c r="M107" i="2"/>
  <c r="N107" i="2"/>
  <c r="O107" i="2"/>
  <c r="P107" i="2"/>
  <c r="Q107" i="2"/>
  <c r="R107" i="2"/>
  <c r="S107" i="2"/>
  <c r="J108" i="2"/>
  <c r="K108" i="2"/>
  <c r="L108" i="2"/>
  <c r="M108" i="2"/>
  <c r="N108" i="2"/>
  <c r="O108" i="2"/>
  <c r="P108" i="2"/>
  <c r="Q108" i="2"/>
  <c r="R108" i="2"/>
  <c r="S108" i="2"/>
  <c r="J109" i="2"/>
  <c r="K109" i="2"/>
  <c r="L109" i="2"/>
  <c r="M109" i="2"/>
  <c r="N109" i="2"/>
  <c r="O109" i="2"/>
  <c r="P109" i="2"/>
  <c r="Q109" i="2"/>
  <c r="R109" i="2"/>
  <c r="S109" i="2"/>
  <c r="J110" i="2"/>
  <c r="K110" i="2"/>
  <c r="L110" i="2"/>
  <c r="M110" i="2"/>
  <c r="N110" i="2"/>
  <c r="O110" i="2"/>
  <c r="P110" i="2"/>
  <c r="Q110" i="2"/>
  <c r="R110" i="2"/>
  <c r="S110" i="2"/>
  <c r="J111" i="2"/>
  <c r="K111" i="2"/>
  <c r="L111" i="2"/>
  <c r="M111" i="2"/>
  <c r="N111" i="2"/>
  <c r="O111" i="2"/>
  <c r="P111" i="2"/>
  <c r="Q111" i="2"/>
  <c r="R111" i="2"/>
  <c r="S111" i="2"/>
  <c r="J112" i="2"/>
  <c r="K112" i="2"/>
  <c r="L112" i="2"/>
  <c r="M112" i="2"/>
  <c r="N112" i="2"/>
  <c r="O112" i="2"/>
  <c r="P112" i="2"/>
  <c r="Q112" i="2"/>
  <c r="R112" i="2"/>
  <c r="S112" i="2"/>
  <c r="J113" i="2"/>
  <c r="K113" i="2"/>
  <c r="L113" i="2"/>
  <c r="M113" i="2"/>
  <c r="N113" i="2"/>
  <c r="O113" i="2"/>
  <c r="P113" i="2"/>
  <c r="Q113" i="2"/>
  <c r="R113" i="2"/>
  <c r="S113" i="2"/>
  <c r="J114" i="2"/>
  <c r="K114" i="2"/>
  <c r="L114" i="2"/>
  <c r="M114" i="2"/>
  <c r="N114" i="2"/>
  <c r="O114" i="2"/>
  <c r="P114" i="2"/>
  <c r="Q114" i="2"/>
  <c r="R114" i="2"/>
  <c r="S114" i="2"/>
  <c r="J115" i="2"/>
  <c r="K115" i="2"/>
  <c r="L115" i="2"/>
  <c r="M115" i="2"/>
  <c r="N115" i="2"/>
  <c r="O115" i="2"/>
  <c r="P115" i="2"/>
  <c r="Q115" i="2"/>
  <c r="R115" i="2"/>
  <c r="S115" i="2"/>
  <c r="J116" i="2"/>
  <c r="K116" i="2"/>
  <c r="L116" i="2"/>
  <c r="M116" i="2"/>
  <c r="N116" i="2"/>
  <c r="O116" i="2"/>
  <c r="P116" i="2"/>
  <c r="Q116" i="2"/>
  <c r="R116" i="2"/>
  <c r="S116" i="2"/>
  <c r="J117" i="2"/>
  <c r="K117" i="2"/>
  <c r="L117" i="2"/>
  <c r="M117" i="2"/>
  <c r="N117" i="2"/>
  <c r="O117" i="2"/>
  <c r="P117" i="2"/>
  <c r="Q117" i="2"/>
  <c r="R117" i="2"/>
  <c r="S117" i="2"/>
  <c r="J118" i="2"/>
  <c r="K118" i="2"/>
  <c r="L118" i="2"/>
  <c r="M118" i="2"/>
  <c r="N118" i="2"/>
  <c r="O118" i="2"/>
  <c r="P118" i="2"/>
  <c r="Q118" i="2"/>
  <c r="R118" i="2"/>
  <c r="S118" i="2"/>
  <c r="J119" i="2"/>
  <c r="K119" i="2"/>
  <c r="L119" i="2"/>
  <c r="M119" i="2"/>
  <c r="N119" i="2"/>
  <c r="O119" i="2"/>
  <c r="P119" i="2"/>
  <c r="Q119" i="2"/>
  <c r="R119" i="2"/>
  <c r="S119" i="2"/>
  <c r="J120" i="2"/>
  <c r="K120" i="2"/>
  <c r="L120" i="2"/>
  <c r="M120" i="2"/>
  <c r="N120" i="2"/>
  <c r="O120" i="2"/>
  <c r="P120" i="2"/>
  <c r="Q120" i="2"/>
  <c r="R120" i="2"/>
  <c r="S120" i="2"/>
  <c r="J121" i="2"/>
  <c r="K121" i="2"/>
  <c r="L121" i="2"/>
  <c r="M121" i="2"/>
  <c r="N121" i="2"/>
  <c r="O121" i="2"/>
  <c r="P121" i="2"/>
  <c r="Q121" i="2"/>
  <c r="R121" i="2"/>
  <c r="S121" i="2"/>
  <c r="S62" i="2"/>
  <c r="R62" i="2"/>
  <c r="Q62" i="2"/>
  <c r="P62" i="2"/>
  <c r="N62" i="2"/>
  <c r="M62" i="2"/>
  <c r="L62" i="2"/>
  <c r="F4" i="1" a="1"/>
  <c r="F4" i="1" l="1"/>
  <c r="AJ4" i="1"/>
  <c r="D8" i="2"/>
  <c r="D4" i="2"/>
  <c r="D7" i="2"/>
  <c r="D3" i="2"/>
  <c r="D10" i="2"/>
  <c r="D6" i="2"/>
  <c r="D2" i="2"/>
  <c r="D9" i="2"/>
  <c r="E2" i="2"/>
  <c r="I3" i="2" l="1"/>
  <c r="I4" i="2"/>
  <c r="I6" i="2"/>
  <c r="I7" i="2"/>
  <c r="I8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2" i="2"/>
  <c r="AK4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<sst xmlns="http://schemas.openxmlformats.org/spreadsheetml/2006/main" count="309" uniqueCount="180">
  <si>
    <t>N°</t>
  </si>
  <si>
    <t>NOMBRE</t>
  </si>
  <si>
    <t>RUT</t>
  </si>
  <si>
    <t>Puntaje</t>
  </si>
  <si>
    <t>Nota</t>
  </si>
  <si>
    <t>orden</t>
  </si>
  <si>
    <t>nombre</t>
  </si>
  <si>
    <t>pregunta</t>
  </si>
  <si>
    <t>PUNTAJE</t>
  </si>
  <si>
    <t>exigencia</t>
  </si>
  <si>
    <t>ESCALA</t>
  </si>
  <si>
    <t>CARACTER DE INGRESO</t>
  </si>
  <si>
    <t>DESCRIPCIÓN</t>
  </si>
  <si>
    <t>PUNTAJES</t>
  </si>
  <si>
    <t>Reproceso</t>
  </si>
  <si>
    <t>3. Observación A, E, I,O,U Usuarios.</t>
  </si>
  <si>
    <t>4. Reflexión.</t>
  </si>
  <si>
    <t>5. Definición del Problema.</t>
  </si>
  <si>
    <t>6. Solución Creativa</t>
  </si>
  <si>
    <t>7. Bitácora</t>
  </si>
  <si>
    <t>8. Quiz de desempeño Individual</t>
  </si>
  <si>
    <t>EB</t>
  </si>
  <si>
    <t>En blanco</t>
  </si>
  <si>
    <t>NL</t>
  </si>
  <si>
    <t>No Logrado</t>
  </si>
  <si>
    <t>M</t>
  </si>
  <si>
    <t>Mejorable</t>
  </si>
  <si>
    <t>B</t>
  </si>
  <si>
    <t>Bueno</t>
  </si>
  <si>
    <t>E</t>
  </si>
  <si>
    <t>Excelente</t>
  </si>
  <si>
    <t>Evaluación Experiencia de Aprendizaje Número 1</t>
  </si>
  <si>
    <t>EMP1101</t>
  </si>
  <si>
    <t>1. Observación A,E,I,O,U Actividades y entornos.</t>
  </si>
  <si>
    <t>2. Observación A,E,I,O,U Interacciones y Objetos.</t>
  </si>
  <si>
    <t>ALVAREZ PINEDA ARELLY CATALINA</t>
  </si>
  <si>
    <t>AVELLO CHAPARRO JOSE MIGUEL</t>
  </si>
  <si>
    <t>BAHAMONDES GAMBOA BRAYAN NICOLAS</t>
  </si>
  <si>
    <t>BRAVO DIAZ VALENTINA ARDETT</t>
  </si>
  <si>
    <t>216602153</t>
  </si>
  <si>
    <t>BRITO MANCILLA JAVIERA FRANCISCA</t>
  </si>
  <si>
    <t>210572058</t>
  </si>
  <si>
    <t>CARVALLO AGUIRRE FRANCISCO ANTONIO</t>
  </si>
  <si>
    <t>197735856</t>
  </si>
  <si>
    <t>CHAPARRO FAUNDEZ ARACELI</t>
  </si>
  <si>
    <t>21395444K</t>
  </si>
  <si>
    <t>CIFUENTES ESQUIVEL DIEGO ANDRES</t>
  </si>
  <si>
    <t>213236229</t>
  </si>
  <si>
    <t>CORTES DIAZ FELIPE IGNACIO NATANAEL</t>
  </si>
  <si>
    <t>213336487</t>
  </si>
  <si>
    <t>CRUZ OSORIO XARENY KYRA</t>
  </si>
  <si>
    <t>213710052</t>
  </si>
  <si>
    <t>CRUZ REINOSO FERNANDO NICOLAS</t>
  </si>
  <si>
    <t>21639366K</t>
  </si>
  <si>
    <t>ESTAY OLIVARES JUAN</t>
  </si>
  <si>
    <t>203205376</t>
  </si>
  <si>
    <t>FARINA MUNOZ MORIN SALOME</t>
  </si>
  <si>
    <t>216627547</t>
  </si>
  <si>
    <t>FERNANDEZ HERRERA DANIEL</t>
  </si>
  <si>
    <t>214301326</t>
  </si>
  <si>
    <t>FERRETTO SEGOVIA ANGELO PAULO</t>
  </si>
  <si>
    <t>235931109</t>
  </si>
  <si>
    <t>FIGUEROA CALDERON DAMARI</t>
  </si>
  <si>
    <t>211080485</t>
  </si>
  <si>
    <t>FLORES SOTO JAVIERA BELEN</t>
  </si>
  <si>
    <t>216019547</t>
  </si>
  <si>
    <t>GARCIA MIRANDA BELINDA MARIANA</t>
  </si>
  <si>
    <t>209823926</t>
  </si>
  <si>
    <t>GONZALEZ LAVANDEROS IGNACIO ANDRE</t>
  </si>
  <si>
    <t>205219625</t>
  </si>
  <si>
    <t>HERRERA CASTILLO KIARA ANAIS</t>
  </si>
  <si>
    <t>213350935</t>
  </si>
  <si>
    <t>ITURRIETA CHACANA KIARA</t>
  </si>
  <si>
    <t>213344528</t>
  </si>
  <si>
    <t>LEIVA ARANCIBIA MAYXER</t>
  </si>
  <si>
    <t>213753789</t>
  </si>
  <si>
    <t>LETELIER SANTANA NICOLAS</t>
  </si>
  <si>
    <t>20990456K</t>
  </si>
  <si>
    <t>LOBOS RIVERA DIETER MAXIMILIANO</t>
  </si>
  <si>
    <t>215213099</t>
  </si>
  <si>
    <t>LOPEZ FERNANDEZ JUAN ANDRES</t>
  </si>
  <si>
    <t>215519724</t>
  </si>
  <si>
    <t>MACHUCA CRUZ VALENTINA SCARLETT</t>
  </si>
  <si>
    <t>216059794</t>
  </si>
  <si>
    <t>MANQUEZ ARANCIBIA MARTIN EDUARDO</t>
  </si>
  <si>
    <t>213211560</t>
  </si>
  <si>
    <t>MORALES PARADA CATALINA EDITH</t>
  </si>
  <si>
    <t>209423790</t>
  </si>
  <si>
    <t>NEIRA CUEVAS MONTSERRAT CARMEN</t>
  </si>
  <si>
    <t>216143760</t>
  </si>
  <si>
    <t>NUÑEZ GONZALEZ BENJAMIN ANDRES</t>
  </si>
  <si>
    <t>211635592</t>
  </si>
  <si>
    <t>OLIVARES ZUNIGA BENJAMIN GABRIEL</t>
  </si>
  <si>
    <t>212768820</t>
  </si>
  <si>
    <t>PALMA LOYOLA JOHAN BASTIAN</t>
  </si>
  <si>
    <t>215771318</t>
  </si>
  <si>
    <t>PARADA HOFFMANN NICOLAS ANDRES</t>
  </si>
  <si>
    <t>212604313</t>
  </si>
  <si>
    <t>PINO SAN MARTIN BENJAMIN ANDRES</t>
  </si>
  <si>
    <t>216254767</t>
  </si>
  <si>
    <t>RAMIREZ LORCA JONATHAN ALEJANDRO</t>
  </si>
  <si>
    <t>21197852K</t>
  </si>
  <si>
    <t>ROJAS ROJAS SEBASTIAN GERMAN</t>
  </si>
  <si>
    <t>215410749</t>
  </si>
  <si>
    <t>SEPULVEDA GAETE MONSERRAT BELEN</t>
  </si>
  <si>
    <t>215641554</t>
  </si>
  <si>
    <t>TORO HERRERA JENNIFER ANDREA</t>
  </si>
  <si>
    <t>215517942</t>
  </si>
  <si>
    <t>TORRES MATURANA KAREN VICTORIA</t>
  </si>
  <si>
    <t>196947175</t>
  </si>
  <si>
    <t>TRONCOSO FIGUEROA EVANISE PAZ</t>
  </si>
  <si>
    <t>201732417</t>
  </si>
  <si>
    <t>VALDIVIA SOLIS FELIPE IGNACIO</t>
  </si>
  <si>
    <t>192745551</t>
  </si>
  <si>
    <t>VASQUEZ ROJAS JORDAN EDUARDO</t>
  </si>
  <si>
    <t>210114904</t>
  </si>
  <si>
    <t>VERA TORO TOMAS IGNACIO</t>
  </si>
  <si>
    <t>211936525</t>
  </si>
  <si>
    <t>VERDUGO ABARCA CATALINA SOFIA</t>
  </si>
  <si>
    <t>212493600</t>
  </si>
  <si>
    <t>ZAMORANO INZUNZA ROBINSON PAULINO</t>
  </si>
  <si>
    <t>211811854</t>
  </si>
  <si>
    <t>id_eval</t>
  </si>
  <si>
    <t>forma</t>
  </si>
  <si>
    <t>item_orden</t>
  </si>
  <si>
    <t>item_tipo</t>
  </si>
  <si>
    <t>item_num</t>
  </si>
  <si>
    <t>item_nombre</t>
  </si>
  <si>
    <t>registro</t>
  </si>
  <si>
    <t>item_puntaje</t>
  </si>
  <si>
    <t>puntaje_asignado</t>
  </si>
  <si>
    <t>EMP1101-2024001-1</t>
  </si>
  <si>
    <t>RU</t>
  </si>
  <si>
    <t>1. Observación A,E,I,O,U Interacciones y Objetos.</t>
  </si>
  <si>
    <t>2.  Observación A,E,I,O,U Interacciones y Objetos.</t>
  </si>
  <si>
    <t>DE</t>
  </si>
  <si>
    <t>cod_asig</t>
  </si>
  <si>
    <t>ano</t>
  </si>
  <si>
    <t>periodo</t>
  </si>
  <si>
    <t>num_prueba</t>
  </si>
  <si>
    <t>nombre_prueba</t>
  </si>
  <si>
    <t>tiene_formas</t>
  </si>
  <si>
    <t>retro_alum</t>
  </si>
  <si>
    <t>retro_doc</t>
  </si>
  <si>
    <t>ver_correctas</t>
  </si>
  <si>
    <t>tiene_grupo</t>
  </si>
  <si>
    <t>archivo_tabla</t>
  </si>
  <si>
    <t>cargado_fecha</t>
  </si>
  <si>
    <t>num_ppt</t>
  </si>
  <si>
    <t>0</t>
  </si>
  <si>
    <t>1</t>
  </si>
  <si>
    <t>C:\sudcraultra\tablas de especificaciones\emprendimiento\[formatoTE.xlsm]GENERAL</t>
  </si>
  <si>
    <t>n item</t>
  </si>
  <si>
    <t>puntaje</t>
  </si>
  <si>
    <t>id_escala</t>
  </si>
  <si>
    <t>cod_nivel</t>
  </si>
  <si>
    <t>nivel</t>
  </si>
  <si>
    <t>nivel_descripcion</t>
  </si>
  <si>
    <t>DL</t>
  </si>
  <si>
    <t>Dominio por lograr</t>
  </si>
  <si>
    <t>DP</t>
  </si>
  <si>
    <t>Dominio en proceso</t>
  </si>
  <si>
    <t>DA</t>
  </si>
  <si>
    <t>Dominio aceptable</t>
  </si>
  <si>
    <t>AD</t>
  </si>
  <si>
    <t>Alto dominio</t>
  </si>
  <si>
    <t>ED</t>
  </si>
  <si>
    <t>Excelente dominio</t>
  </si>
  <si>
    <t>Puntaje máximo:</t>
  </si>
  <si>
    <t>Pregunta:</t>
  </si>
  <si>
    <t>tipo</t>
  </si>
  <si>
    <t>cod_interno</t>
  </si>
  <si>
    <t>VALIDA_P</t>
  </si>
  <si>
    <t>proceso2024</t>
  </si>
  <si>
    <t>Max_ru</t>
  </si>
  <si>
    <t>paso</t>
  </si>
  <si>
    <t>Formas</t>
  </si>
  <si>
    <t xml:space="preserve">   Forma</t>
  </si>
  <si>
    <t xml:space="preserve">    Grupo</t>
  </si>
  <si>
    <t>9. Quiz de deseasdasd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</si>
</sst>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\-mmm\-yy"/>
  </numFmts>
  <fonts count="1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theme="1"/>
      <name val="Aptos Light"/>
      <family val="2"/>
    </font>
    <font>
      <b/>
      <sz val="26"/>
      <color theme="1"/>
      <name val="Aptos Light"/>
      <family val="2"/>
    </font>
    <font>
      <b/>
      <sz val="22"/>
      <color theme="1"/>
      <name val="Aptos Light"/>
      <family val="2"/>
    </font>
    <font>
      <b/>
      <sz val="12"/>
      <color theme="1"/>
      <name val="Aptos Light"/>
      <family val="2"/>
    </font>
    <font>
      <sz val="11"/>
      <color theme="0"/>
      <name val="Aptos Light"/>
      <family val="2"/>
    </font>
    <font>
      <sz val="16"/>
      <color theme="1"/>
      <name val="Aptos Light"/>
      <family val="2"/>
    </font>
    <font>
      <sz val="14"/>
      <color theme="1"/>
      <name val="Aptos Light"/>
      <family val="2"/>
    </font>
    <font>
      <sz val="18"/>
      <color theme="1"/>
      <name val="Aptos Light"/>
      <family val="2"/>
    </font>
    <font>
      <sz val="12"/>
      <color theme="1"/>
      <name val="Aptos Light"/>
      <family val="2"/>
    </font>
    <font>
      <sz val="14"/>
      <name val="Aptos Light"/>
      <family val="2"/>
    </font>
    <font>
      <b/>
      <sz val="22"/>
      <color theme="1"/>
      <name val="Aptos Narrow"/>
      <family val="2"/>
    </font>
  </fonts>
  <fills count="1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theme="4" tint="0.79998168889431442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4" fillId="0" borderId="0"/>
    <xf numFmtId="0" fontId="4" fillId="0" borderId="0"/>
    <xf numFmtId="0" fontId="4" fillId="0" borderId="0"/>
  </cellStyleXfs>
  <cellXfs count="69">
    <xf numFmtId="0" fontId="0" fillId="0" borderId="0" xfId="0"/>
    <xf numFmtId="0" fontId="0" fillId="0" borderId="0" xfId="0" applyAlignment="1">
      <alignment horizontal="center"/>
    </xf>
    <xf numFmtId="9" fontId="0" fillId="0" borderId="0" xfId="0" applyNumberFormat="1"/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0" fillId="6" borderId="0" xfId="0" applyFill="1"/>
    <xf numFmtId="0" fontId="1" fillId="5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/>
    </xf>
    <xf numFmtId="0" fontId="3" fillId="8" borderId="20" xfId="1" applyFont="1" applyFill="1" applyBorder="1" applyAlignment="1">
      <alignment horizontal="center"/>
    </xf>
    <xf numFmtId="0" fontId="3" fillId="0" borderId="21" xfId="1" applyFont="1" applyBorder="1"/>
    <xf numFmtId="0" fontId="3" fillId="0" borderId="21" xfId="1" applyFont="1" applyBorder="1" applyAlignment="1">
      <alignment horizontal="right"/>
    </xf>
    <xf numFmtId="0" fontId="3" fillId="8" borderId="20" xfId="2" applyFont="1" applyFill="1" applyBorder="1" applyAlignment="1">
      <alignment horizontal="center"/>
    </xf>
    <xf numFmtId="0" fontId="3" fillId="0" borderId="21" xfId="2" applyFont="1" applyBorder="1"/>
    <xf numFmtId="0" fontId="3" fillId="0" borderId="21" xfId="2" applyFont="1" applyBorder="1" applyAlignment="1">
      <alignment horizontal="right"/>
    </xf>
    <xf numFmtId="165" fontId="3" fillId="0" borderId="21" xfId="2" applyNumberFormat="1" applyFont="1" applyBorder="1" applyAlignment="1">
      <alignment horizontal="right"/>
    </xf>
    <xf numFmtId="0" fontId="4" fillId="0" borderId="0" xfId="2"/>
    <xf numFmtId="0" fontId="3" fillId="8" borderId="20" xfId="3" applyFont="1" applyFill="1" applyBorder="1" applyAlignment="1">
      <alignment horizontal="center"/>
    </xf>
    <xf numFmtId="0" fontId="3" fillId="0" borderId="21" xfId="3" applyFont="1" applyBorder="1" applyAlignment="1">
      <alignment horizontal="right"/>
    </xf>
    <xf numFmtId="0" fontId="3" fillId="0" borderId="21" xfId="3" applyFont="1" applyBorder="1"/>
    <xf numFmtId="0" fontId="3" fillId="8" borderId="23" xfId="2" applyFont="1" applyFill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6" fillId="0" borderId="0" xfId="0" applyFont="1"/>
    <xf numFmtId="0" fontId="7" fillId="0" borderId="0" xfId="0" applyFont="1"/>
    <xf numFmtId="0" fontId="8" fillId="4" borderId="6" xfId="0" applyFont="1" applyFill="1" applyBorder="1" applyAlignment="1">
      <alignment horizontal="center" vertical="center"/>
    </xf>
    <xf numFmtId="0" fontId="8" fillId="4" borderId="25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10" fillId="4" borderId="11" xfId="0" applyFont="1" applyFill="1" applyBorder="1" applyAlignment="1">
      <alignment horizontal="center" vertical="center"/>
    </xf>
    <xf numFmtId="0" fontId="5" fillId="4" borderId="24" xfId="0" applyFont="1" applyFill="1" applyBorder="1" applyAlignment="1">
      <alignment horizontal="center" textRotation="90" wrapText="1"/>
    </xf>
    <xf numFmtId="0" fontId="5" fillId="4" borderId="14" xfId="0" applyFont="1" applyFill="1" applyBorder="1" applyAlignment="1">
      <alignment horizontal="center" textRotation="90" wrapText="1"/>
    </xf>
    <xf numFmtId="0" fontId="12" fillId="9" borderId="8" xfId="0" applyFont="1" applyFill="1" applyBorder="1" applyAlignment="1">
      <alignment horizontal="center" vertical="center"/>
    </xf>
    <xf numFmtId="0" fontId="12" fillId="12" borderId="8" xfId="0" applyFont="1" applyFill="1" applyBorder="1" applyAlignment="1">
      <alignment horizontal="center" vertical="center"/>
    </xf>
    <xf numFmtId="0" fontId="12" fillId="7" borderId="17" xfId="0" applyFont="1" applyFill="1" applyBorder="1" applyAlignment="1">
      <alignment horizontal="center" vertical="center" textRotation="90"/>
    </xf>
    <xf numFmtId="0" fontId="5" fillId="10" borderId="3" xfId="0" applyFont="1" applyFill="1" applyBorder="1" applyAlignment="1" applyProtection="1">
      <alignment horizontal="center" vertical="center"/>
      <protection locked="0"/>
    </xf>
    <xf numFmtId="0" fontId="5" fillId="10" borderId="29" xfId="0" applyFont="1" applyFill="1" applyBorder="1" applyAlignment="1" applyProtection="1">
      <alignment horizontal="center" vertical="center"/>
      <protection locked="0"/>
    </xf>
    <xf numFmtId="0" fontId="5" fillId="4" borderId="26" xfId="0" applyFont="1" applyFill="1" applyBorder="1" applyAlignment="1" applyProtection="1">
      <alignment horizontal="center" vertical="center"/>
      <protection locked="0"/>
    </xf>
    <xf numFmtId="0" fontId="5" fillId="4" borderId="15" xfId="0" applyFont="1" applyFill="1" applyBorder="1" applyAlignment="1" applyProtection="1">
      <alignment horizontal="center" vertical="center"/>
      <protection locked="0"/>
    </xf>
    <xf numFmtId="0" fontId="5" fillId="2" borderId="4" xfId="0" applyFont="1" applyFill="1" applyBorder="1" applyAlignment="1">
      <alignment horizontal="center" vertical="center"/>
    </xf>
    <xf numFmtId="164" fontId="5" fillId="13" borderId="4" xfId="0" applyNumberFormat="1" applyFont="1" applyFill="1" applyBorder="1" applyAlignment="1">
      <alignment horizontal="center" vertical="center"/>
    </xf>
    <xf numFmtId="0" fontId="5" fillId="4" borderId="10" xfId="0" applyFont="1" applyFill="1" applyBorder="1" applyAlignment="1" applyProtection="1">
      <alignment horizontal="center" vertical="center"/>
      <protection locked="0"/>
    </xf>
    <xf numFmtId="0" fontId="5" fillId="4" borderId="11" xfId="0" applyFont="1" applyFill="1" applyBorder="1" applyAlignment="1" applyProtection="1">
      <alignment horizontal="center" vertical="center"/>
      <protection locked="0"/>
    </xf>
    <xf numFmtId="0" fontId="5" fillId="10" borderId="33" xfId="0" applyFont="1" applyFill="1" applyBorder="1" applyAlignment="1" applyProtection="1">
      <alignment horizontal="center" vertical="center"/>
      <protection locked="0"/>
    </xf>
    <xf numFmtId="0" fontId="5" fillId="10" borderId="34" xfId="0" applyFont="1" applyFill="1" applyBorder="1" applyAlignment="1" applyProtection="1">
      <alignment horizontal="center" vertical="center"/>
      <protection locked="0"/>
    </xf>
    <xf numFmtId="0" fontId="5" fillId="0" borderId="0" xfId="0" applyFont="1" applyBorder="1" applyAlignment="1">
      <alignment horizontal="center"/>
    </xf>
    <xf numFmtId="0" fontId="5" fillId="0" borderId="0" xfId="0" applyFont="1" applyBorder="1"/>
    <xf numFmtId="0" fontId="5" fillId="0" borderId="16" xfId="0" applyFont="1" applyBorder="1"/>
    <xf numFmtId="0" fontId="11" fillId="14" borderId="12" xfId="0" applyFont="1" applyFill="1" applyBorder="1" applyAlignment="1">
      <alignment horizontal="center"/>
    </xf>
    <xf numFmtId="0" fontId="11" fillId="14" borderId="13" xfId="0" applyFont="1" applyFill="1" applyBorder="1" applyAlignment="1">
      <alignment horizontal="center"/>
    </xf>
    <xf numFmtId="0" fontId="10" fillId="11" borderId="14" xfId="0" applyFont="1" applyFill="1" applyBorder="1" applyAlignment="1">
      <alignment horizontal="center" textRotation="90"/>
    </xf>
    <xf numFmtId="0" fontId="10" fillId="11" borderId="27" xfId="0" applyFont="1" applyFill="1" applyBorder="1" applyAlignment="1">
      <alignment horizontal="center" textRotation="90"/>
    </xf>
    <xf numFmtId="0" fontId="14" fillId="7" borderId="7" xfId="0" applyFont="1" applyFill="1" applyBorder="1" applyAlignment="1">
      <alignment horizontal="right" vertical="center" indent="1"/>
    </xf>
    <xf numFmtId="0" fontId="14" fillId="7" borderId="5" xfId="0" applyFont="1" applyFill="1" applyBorder="1" applyAlignment="1">
      <alignment horizontal="right" vertical="center" indent="1"/>
    </xf>
    <xf numFmtId="0" fontId="14" fillId="7" borderId="9" xfId="0" applyFont="1" applyFill="1" applyBorder="1" applyAlignment="1">
      <alignment horizontal="right" vertical="center" indent="1"/>
    </xf>
    <xf numFmtId="0" fontId="14" fillId="7" borderId="22" xfId="0" applyFont="1" applyFill="1" applyBorder="1" applyAlignment="1">
      <alignment horizontal="right" vertical="center" indent="1"/>
    </xf>
    <xf numFmtId="0" fontId="14" fillId="7" borderId="10" xfId="0" applyFont="1" applyFill="1" applyBorder="1" applyAlignment="1">
      <alignment horizontal="right" vertical="center" indent="1"/>
    </xf>
    <xf numFmtId="0" fontId="5" fillId="0" borderId="28" xfId="0" applyFont="1" applyBorder="1" applyAlignment="1">
      <alignment horizontal="center" vertical="center"/>
    </xf>
    <xf numFmtId="0" fontId="9" fillId="0" borderId="18" xfId="0" applyFont="1" applyBorder="1" applyAlignment="1" applyProtection="1">
      <alignment vertical="center"/>
      <protection locked="0"/>
    </xf>
    <xf numFmtId="0" fontId="5" fillId="0" borderId="30" xfId="0" applyFont="1" applyBorder="1" applyAlignment="1">
      <alignment horizontal="center" vertical="center"/>
    </xf>
    <xf numFmtId="0" fontId="9" fillId="0" borderId="19" xfId="0" applyFont="1" applyBorder="1" applyAlignment="1" applyProtection="1">
      <alignment vertical="center"/>
      <protection locked="0"/>
    </xf>
    <xf numFmtId="0" fontId="5" fillId="0" borderId="31" xfId="0" applyFont="1" applyBorder="1" applyAlignment="1">
      <alignment horizontal="center" vertical="center"/>
    </xf>
    <xf numFmtId="0" fontId="13" fillId="0" borderId="2" xfId="0" applyFont="1" applyBorder="1" applyAlignment="1">
      <alignment vertical="center"/>
    </xf>
    <xf numFmtId="0" fontId="13" fillId="0" borderId="2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1" xfId="0" applyFont="1" applyBorder="1" applyAlignment="1">
      <alignment horizontal="center" vertical="center"/>
    </xf>
    <xf numFmtId="0" fontId="13" fillId="0" borderId="32" xfId="0" applyFont="1" applyBorder="1" applyAlignment="1">
      <alignment vertical="center"/>
    </xf>
    <xf numFmtId="0" fontId="13" fillId="0" borderId="32" xfId="0" applyFont="1" applyBorder="1" applyAlignment="1">
      <alignment horizontal="center" vertical="center"/>
    </xf>
    <xf numFmtId="0" fontId="15" fillId="0" borderId="0" xfId="0" applyFont="1"/>
  </cellXfs>
  <cellStyles count="4">
    <cellStyle name="Normal" xfId="0" builtinId="0"/>
    <cellStyle name="Normal_escala" xfId="3" xr:uid="{BDF008BE-6073-4130-9CA6-E8C6378D7964}"/>
    <cellStyle name="Normal_Hoja3" xfId="1" xr:uid="{71FC8F5B-96FE-4348-9FFC-CC01EDF33952}"/>
    <cellStyle name="Normal_Hoja4" xfId="2" xr:uid="{3FB49C71-2E40-4394-B532-645A9CACC4D4}"/>
  </cellStyles>
  <dxfs count="1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numFmt numFmtId="166" formatCode="&quot;EB&quot;"/>
    </dxf>
    <dxf>
      <numFmt numFmtId="167" formatCode="&quot;NL&quot;"/>
    </dxf>
    <dxf>
      <numFmt numFmtId="168" formatCode="&quot;M&quot;"/>
    </dxf>
    <dxf>
      <numFmt numFmtId="169" formatCode="&quot;B&quot;"/>
    </dxf>
    <dxf>
      <numFmt numFmtId="170" formatCode="&quot;E&quot;"/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colors>
    <mruColors>
      <color rgb="FFDBE5F1"/>
      <color rgb="FFCCFFCC"/>
      <color rgb="FFCAE8AA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150415</xdr:colOff>
          <xdr:row>3</xdr:row>
          <xdr:rowOff>91677</xdr:rowOff>
        </xdr:from>
        <xdr:to>
          <xdr:col>1</xdr:col>
          <xdr:colOff>1512093</xdr:colOff>
          <xdr:row>4</xdr:row>
          <xdr:rowOff>218281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Ordenar por Grupo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L67"/>
  <sheetViews>
    <sheetView showGridLines="0" tabSelected="1" zoomScale="85" zoomScaleNormal="85" workbookViewId="0">
      <pane xSplit="5" ySplit="6" topLeftCell="F7" activePane="bottomRight" state="frozen"/>
      <selection pane="topRight" activeCell="E1" sqref="E1"/>
      <selection pane="bottomLeft" activeCell="A10" sqref="A10"/>
      <selection pane="bottomRight" activeCell="D6" sqref="D6"/>
    </sheetView>
  </sheetViews>
  <sheetFormatPr baseColWidth="10" defaultRowHeight="8.25" customHeight="1" x14ac:dyDescent="0.25"/>
  <cols>
    <col min="1" max="1" width="5.42578125" style="21" customWidth="1"/>
    <col min="2" max="2" width="55.28515625" style="20" customWidth="1"/>
    <col min="3" max="3" width="15.85546875" style="21" customWidth="1"/>
    <col min="4" max="4" width="7.140625" style="20" customWidth="1"/>
    <col min="5" max="5" width="7.140625" style="21" customWidth="1"/>
    <col min="6" max="35" width="7" style="20" customWidth="1"/>
    <col min="36" max="37" width="14.7109375" style="20" customWidth="1"/>
    <col min="38" max="38" width="6.7109375" style="20" customWidth="1"/>
    <col min="39" max="16384" width="11.42578125" style="20"/>
  </cols>
  <sheetData>
    <row r="1" spans="1:38" ht="10.5" customHeight="1" x14ac:dyDescent="0.25">
      <c r="A1" s="20"/>
      <c r="E1" s="20"/>
    </row>
    <row r="2" spans="1:38" ht="41.25" customHeight="1" x14ac:dyDescent="0.55000000000000004">
      <c r="B2" s="68" t="str">
        <f ca="1">UPPER(Eval!F2 &amp;" DE " &amp;Eval!B2 &amp; " - " &amp; IF(MONTH(TODAY())&lt;8,"Primer Semestre ", "Segundo Semestre ") &amp; YEAR(TODAY()))</f>
        <v>EVALUACIÓN EXPERIENCIA DE APRENDIZAJE NÚMERO 1 DE EMP1101 - PRIMER SEMESTRE 2024</v>
      </c>
      <c r="C2" s="20"/>
      <c r="D2" s="22"/>
      <c r="E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3"/>
      <c r="AK2" s="23"/>
    </row>
    <row r="3" spans="1:38" ht="12.75" customHeight="1" thickBot="1" x14ac:dyDescent="0.3"/>
    <row r="4" spans="1:38" ht="17.25" customHeight="1" x14ac:dyDescent="0.25">
      <c r="C4" s="52" t="s">
        <v>168</v>
      </c>
      <c r="D4" s="53"/>
      <c r="E4" s="53"/>
      <c r="F4" s="24" cm="1">
        <f t="array" aca="1" ref="F4:L6" ca="1">TRANSPOSE(INDIRECT("datos!C2:E"&amp;datos!L2-1))</f>
        <v>4</v>
      </c>
      <c r="G4" s="24">
        <f ca="1"/>
        <v>4</v>
      </c>
      <c r="H4" s="24">
        <f ca="1"/>
        <v>2</v>
      </c>
      <c r="I4" s="24">
        <f ca="1"/>
        <v>2</v>
      </c>
      <c r="J4" s="24">
        <f ca="1"/>
        <v>4</v>
      </c>
      <c r="K4" s="24">
        <f ca="1"/>
        <v>4</v>
      </c>
      <c r="L4" s="24">
        <f ca="1"/>
        <v>4</v>
      </c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5"/>
      <c r="AJ4" s="24">
        <f ca="1">SUM(F4:K4)</f>
        <v>20</v>
      </c>
      <c r="AK4" s="26">
        <f ca="1">60-COUNTBLANK(F5:AI5)</f>
        <v>37</v>
      </c>
    </row>
    <row r="5" spans="1:38" ht="25.5" customHeight="1" thickBot="1" x14ac:dyDescent="0.3">
      <c r="A5" s="27"/>
      <c r="B5" s="28"/>
      <c r="C5" s="54" t="s">
        <v>169</v>
      </c>
      <c r="D5" s="55"/>
      <c r="E5" s="56"/>
      <c r="F5" s="29">
        <f ca="1"/>
        <v>1</v>
      </c>
      <c r="G5" s="29">
        <f ca="1"/>
        <v>2</v>
      </c>
      <c r="H5" s="29">
        <f ca="1"/>
        <v>3</v>
      </c>
      <c r="I5" s="29">
        <f ca="1"/>
        <v>4</v>
      </c>
      <c r="J5" s="29">
        <f ca="1"/>
        <v>5</v>
      </c>
      <c r="K5" s="29">
        <f ca="1"/>
        <v>6</v>
      </c>
      <c r="L5" s="29">
        <f ca="1"/>
        <v>7</v>
      </c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8"/>
      <c r="AK5" s="28"/>
    </row>
    <row r="6" spans="1:38" ht="138.75" customHeight="1" thickBot="1" x14ac:dyDescent="0.35">
      <c r="A6" s="48" t="s">
        <v>0</v>
      </c>
      <c r="B6" s="49" t="s">
        <v>1</v>
      </c>
      <c r="C6" s="49" t="s">
        <v>2</v>
      </c>
      <c r="D6" s="50" t="s">
        <v>177</v>
      </c>
      <c r="E6" s="51" t="s">
        <v>178</v>
      </c>
      <c r="F6" s="30" t="str">
        <f ca="1"/>
        <v>1. Observación A,E,I,O,U Interacciones y Objetos.</v>
      </c>
      <c r="G6" s="31" t="str">
        <f ca="1"/>
        <v>2.  Observación A,E,I,O,U Interacciones y Objetos.</v>
      </c>
      <c r="H6" s="31" t="str">
        <f ca="1"/>
        <v>3. Observación A, E, I,O,U Usuarios.</v>
      </c>
      <c r="I6" s="31" t="str">
        <f ca="1"/>
        <v>4. Reflexión.</v>
      </c>
      <c r="J6" s="31" t="str">
        <f ca="1"/>
        <v>5. Definición del Problema.</v>
      </c>
      <c r="K6" s="31" t="str">
        <f ca="1"/>
        <v>6. Solución Creativa</v>
      </c>
      <c r="L6" s="31" t="str">
        <f ca="1"/>
        <v>7. Bitácora</v>
      </c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2" t="s">
        <v>3</v>
      </c>
      <c r="AK6" s="33" t="s">
        <v>4</v>
      </c>
      <c r="AL6" s="34" t="s">
        <v>14</v>
      </c>
    </row>
    <row r="7" spans="1:38" ht="23.25" customHeight="1" x14ac:dyDescent="0.25">
      <c r="A7" s="57">
        <v>1</v>
      </c>
      <c r="B7" s="62" t="s">
        <v>35</v>
      </c>
      <c r="C7" s="63">
        <v>214167697</v>
      </c>
      <c r="D7" s="35"/>
      <c r="E7" s="36"/>
      <c r="F7" s="37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9"/>
      <c r="AK7" s="40"/>
      <c r="AL7" s="58"/>
    </row>
    <row r="8" spans="1:38" ht="23.25" customHeight="1" x14ac:dyDescent="0.25">
      <c r="A8" s="59">
        <v>2</v>
      </c>
      <c r="B8" s="64" t="s">
        <v>36</v>
      </c>
      <c r="C8" s="65">
        <v>218095291</v>
      </c>
      <c r="D8" s="35"/>
      <c r="E8" s="36"/>
      <c r="F8" s="41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39"/>
      <c r="AK8" s="40"/>
      <c r="AL8" s="60"/>
    </row>
    <row r="9" spans="1:38" ht="23.25" customHeight="1" x14ac:dyDescent="0.25">
      <c r="A9" s="59">
        <v>3</v>
      </c>
      <c r="B9" s="62" t="s">
        <v>37</v>
      </c>
      <c r="C9" s="63">
        <v>203211864</v>
      </c>
      <c r="D9" s="35"/>
      <c r="E9" s="36"/>
      <c r="F9" s="41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39"/>
      <c r="AK9" s="40"/>
      <c r="AL9" s="60"/>
    </row>
    <row r="10" spans="1:38" ht="23.25" customHeight="1" x14ac:dyDescent="0.25">
      <c r="A10" s="59">
        <v>6</v>
      </c>
      <c r="B10" s="64" t="s">
        <v>42</v>
      </c>
      <c r="C10" s="65" t="s">
        <v>43</v>
      </c>
      <c r="D10" s="35"/>
      <c r="E10" s="36"/>
      <c r="F10" s="41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39"/>
      <c r="AK10" s="40"/>
      <c r="AL10" s="60"/>
    </row>
    <row r="11" spans="1:38" ht="23.25" customHeight="1" x14ac:dyDescent="0.25">
      <c r="A11" s="59">
        <v>4</v>
      </c>
      <c r="B11" s="62" t="s">
        <v>38</v>
      </c>
      <c r="C11" s="63" t="s">
        <v>39</v>
      </c>
      <c r="D11" s="35"/>
      <c r="E11" s="36"/>
      <c r="F11" s="41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39"/>
      <c r="AK11" s="40"/>
      <c r="AL11" s="60"/>
    </row>
    <row r="12" spans="1:38" ht="23.25" customHeight="1" x14ac:dyDescent="0.25">
      <c r="A12" s="59">
        <v>5</v>
      </c>
      <c r="B12" s="64" t="s">
        <v>40</v>
      </c>
      <c r="C12" s="63" t="s">
        <v>41</v>
      </c>
      <c r="D12" s="35"/>
      <c r="E12" s="36"/>
      <c r="F12" s="41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39"/>
      <c r="AK12" s="40"/>
      <c r="AL12" s="60"/>
    </row>
    <row r="13" spans="1:38" ht="23.25" customHeight="1" x14ac:dyDescent="0.25">
      <c r="A13" s="59">
        <v>7</v>
      </c>
      <c r="B13" s="62" t="s">
        <v>44</v>
      </c>
      <c r="C13" s="65" t="s">
        <v>45</v>
      </c>
      <c r="D13" s="35"/>
      <c r="E13" s="36"/>
      <c r="F13" s="41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39"/>
      <c r="AK13" s="40"/>
      <c r="AL13" s="60"/>
    </row>
    <row r="14" spans="1:38" ht="23.25" customHeight="1" x14ac:dyDescent="0.25">
      <c r="A14" s="59">
        <v>8</v>
      </c>
      <c r="B14" s="64" t="s">
        <v>46</v>
      </c>
      <c r="C14" s="63" t="s">
        <v>47</v>
      </c>
      <c r="D14" s="35"/>
      <c r="E14" s="36"/>
      <c r="F14" s="41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39"/>
      <c r="AK14" s="40"/>
      <c r="AL14" s="60"/>
    </row>
    <row r="15" spans="1:38" ht="23.25" customHeight="1" x14ac:dyDescent="0.25">
      <c r="A15" s="59">
        <v>9</v>
      </c>
      <c r="B15" s="62" t="s">
        <v>48</v>
      </c>
      <c r="C15" s="63" t="s">
        <v>49</v>
      </c>
      <c r="D15" s="35"/>
      <c r="E15" s="36"/>
      <c r="F15" s="41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39"/>
      <c r="AK15" s="40"/>
      <c r="AL15" s="60"/>
    </row>
    <row r="16" spans="1:38" ht="23.25" customHeight="1" x14ac:dyDescent="0.25">
      <c r="A16" s="59">
        <v>10</v>
      </c>
      <c r="B16" s="64" t="s">
        <v>50</v>
      </c>
      <c r="C16" s="65" t="s">
        <v>51</v>
      </c>
      <c r="D16" s="35"/>
      <c r="E16" s="36"/>
      <c r="F16" s="41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39"/>
      <c r="AK16" s="40"/>
      <c r="AL16" s="60"/>
    </row>
    <row r="17" spans="1:38" ht="23.25" customHeight="1" x14ac:dyDescent="0.25">
      <c r="A17" s="59">
        <v>11</v>
      </c>
      <c r="B17" s="64" t="s">
        <v>52</v>
      </c>
      <c r="C17" s="65" t="s">
        <v>53</v>
      </c>
      <c r="D17" s="35"/>
      <c r="E17" s="36"/>
      <c r="F17" s="41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39"/>
      <c r="AK17" s="40"/>
      <c r="AL17" s="60"/>
    </row>
    <row r="18" spans="1:38" ht="23.25" customHeight="1" x14ac:dyDescent="0.25">
      <c r="A18" s="59">
        <v>12</v>
      </c>
      <c r="B18" s="64" t="s">
        <v>54</v>
      </c>
      <c r="C18" s="65" t="s">
        <v>55</v>
      </c>
      <c r="D18" s="35"/>
      <c r="E18" s="36"/>
      <c r="F18" s="41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39"/>
      <c r="AK18" s="40"/>
      <c r="AL18" s="60"/>
    </row>
    <row r="19" spans="1:38" ht="23.25" customHeight="1" x14ac:dyDescent="0.25">
      <c r="A19" s="59">
        <v>13</v>
      </c>
      <c r="B19" s="64" t="s">
        <v>56</v>
      </c>
      <c r="C19" s="65" t="s">
        <v>57</v>
      </c>
      <c r="D19" s="35"/>
      <c r="E19" s="36"/>
      <c r="F19" s="41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39"/>
      <c r="AK19" s="40"/>
      <c r="AL19" s="60"/>
    </row>
    <row r="20" spans="1:38" ht="23.25" customHeight="1" x14ac:dyDescent="0.25">
      <c r="A20" s="59">
        <v>14</v>
      </c>
      <c r="B20" s="64" t="s">
        <v>58</v>
      </c>
      <c r="C20" s="65" t="s">
        <v>59</v>
      </c>
      <c r="D20" s="35"/>
      <c r="E20" s="36"/>
      <c r="F20" s="41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39"/>
      <c r="AK20" s="40"/>
      <c r="AL20" s="60"/>
    </row>
    <row r="21" spans="1:38" ht="23.25" customHeight="1" x14ac:dyDescent="0.25">
      <c r="A21" s="59">
        <v>15</v>
      </c>
      <c r="B21" s="64" t="s">
        <v>60</v>
      </c>
      <c r="C21" s="65" t="s">
        <v>61</v>
      </c>
      <c r="D21" s="35"/>
      <c r="E21" s="36"/>
      <c r="F21" s="41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39"/>
      <c r="AK21" s="40"/>
      <c r="AL21" s="60"/>
    </row>
    <row r="22" spans="1:38" ht="23.25" customHeight="1" x14ac:dyDescent="0.25">
      <c r="A22" s="59">
        <v>16</v>
      </c>
      <c r="B22" s="64" t="s">
        <v>62</v>
      </c>
      <c r="C22" s="65" t="s">
        <v>63</v>
      </c>
      <c r="D22" s="35"/>
      <c r="E22" s="36"/>
      <c r="F22" s="41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39"/>
      <c r="AK22" s="40"/>
      <c r="AL22" s="60"/>
    </row>
    <row r="23" spans="1:38" ht="23.25" customHeight="1" x14ac:dyDescent="0.25">
      <c r="A23" s="59">
        <v>17</v>
      </c>
      <c r="B23" s="64" t="s">
        <v>64</v>
      </c>
      <c r="C23" s="65" t="s">
        <v>65</v>
      </c>
      <c r="D23" s="35"/>
      <c r="E23" s="36"/>
      <c r="F23" s="41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39"/>
      <c r="AK23" s="40"/>
      <c r="AL23" s="60"/>
    </row>
    <row r="24" spans="1:38" ht="23.25" customHeight="1" x14ac:dyDescent="0.25">
      <c r="A24" s="59">
        <v>18</v>
      </c>
      <c r="B24" s="64" t="s">
        <v>66</v>
      </c>
      <c r="C24" s="65" t="s">
        <v>67</v>
      </c>
      <c r="D24" s="35"/>
      <c r="E24" s="36"/>
      <c r="F24" s="41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39"/>
      <c r="AK24" s="40"/>
      <c r="AL24" s="60"/>
    </row>
    <row r="25" spans="1:38" ht="23.25" customHeight="1" x14ac:dyDescent="0.25">
      <c r="A25" s="59">
        <v>19</v>
      </c>
      <c r="B25" s="64" t="s">
        <v>68</v>
      </c>
      <c r="C25" s="65" t="s">
        <v>69</v>
      </c>
      <c r="D25" s="35"/>
      <c r="E25" s="36"/>
      <c r="F25" s="41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39"/>
      <c r="AK25" s="40"/>
      <c r="AL25" s="60"/>
    </row>
    <row r="26" spans="1:38" ht="23.25" customHeight="1" x14ac:dyDescent="0.25">
      <c r="A26" s="59">
        <v>20</v>
      </c>
      <c r="B26" s="64" t="s">
        <v>70</v>
      </c>
      <c r="C26" s="65" t="s">
        <v>71</v>
      </c>
      <c r="D26" s="35"/>
      <c r="E26" s="36"/>
      <c r="F26" s="41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39"/>
      <c r="AK26" s="40"/>
      <c r="AL26" s="60"/>
    </row>
    <row r="27" spans="1:38" ht="23.25" customHeight="1" x14ac:dyDescent="0.25">
      <c r="A27" s="59">
        <v>21</v>
      </c>
      <c r="B27" s="64" t="s">
        <v>72</v>
      </c>
      <c r="C27" s="65" t="s">
        <v>73</v>
      </c>
      <c r="D27" s="35"/>
      <c r="E27" s="36"/>
      <c r="F27" s="41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39"/>
      <c r="AK27" s="40"/>
      <c r="AL27" s="60"/>
    </row>
    <row r="28" spans="1:38" ht="23.25" customHeight="1" x14ac:dyDescent="0.25">
      <c r="A28" s="59">
        <v>22</v>
      </c>
      <c r="B28" s="64" t="s">
        <v>74</v>
      </c>
      <c r="C28" s="65" t="s">
        <v>75</v>
      </c>
      <c r="D28" s="35"/>
      <c r="E28" s="36"/>
      <c r="F28" s="41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39"/>
      <c r="AK28" s="40"/>
      <c r="AL28" s="60"/>
    </row>
    <row r="29" spans="1:38" ht="23.25" customHeight="1" x14ac:dyDescent="0.25">
      <c r="A29" s="59">
        <v>23</v>
      </c>
      <c r="B29" s="64" t="s">
        <v>76</v>
      </c>
      <c r="C29" s="65" t="s">
        <v>77</v>
      </c>
      <c r="D29" s="35"/>
      <c r="E29" s="36"/>
      <c r="F29" s="41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39"/>
      <c r="AK29" s="40"/>
      <c r="AL29" s="60"/>
    </row>
    <row r="30" spans="1:38" ht="23.25" customHeight="1" x14ac:dyDescent="0.25">
      <c r="A30" s="59">
        <v>24</v>
      </c>
      <c r="B30" s="64" t="s">
        <v>78</v>
      </c>
      <c r="C30" s="65" t="s">
        <v>79</v>
      </c>
      <c r="D30" s="35"/>
      <c r="E30" s="36"/>
      <c r="F30" s="41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39"/>
      <c r="AK30" s="40"/>
      <c r="AL30" s="60"/>
    </row>
    <row r="31" spans="1:38" ht="23.25" customHeight="1" x14ac:dyDescent="0.25">
      <c r="A31" s="59">
        <v>25</v>
      </c>
      <c r="B31" s="64" t="s">
        <v>80</v>
      </c>
      <c r="C31" s="65" t="s">
        <v>81</v>
      </c>
      <c r="D31" s="35"/>
      <c r="E31" s="36"/>
      <c r="F31" s="41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39"/>
      <c r="AK31" s="40"/>
      <c r="AL31" s="60"/>
    </row>
    <row r="32" spans="1:38" ht="23.25" customHeight="1" x14ac:dyDescent="0.25">
      <c r="A32" s="59">
        <v>26</v>
      </c>
      <c r="B32" s="64" t="s">
        <v>82</v>
      </c>
      <c r="C32" s="65" t="s">
        <v>83</v>
      </c>
      <c r="D32" s="35"/>
      <c r="E32" s="36"/>
      <c r="F32" s="41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39"/>
      <c r="AK32" s="40"/>
      <c r="AL32" s="60"/>
    </row>
    <row r="33" spans="1:38" ht="23.25" customHeight="1" x14ac:dyDescent="0.25">
      <c r="A33" s="59">
        <v>27</v>
      </c>
      <c r="B33" s="64" t="s">
        <v>84</v>
      </c>
      <c r="C33" s="65" t="s">
        <v>85</v>
      </c>
      <c r="D33" s="35"/>
      <c r="E33" s="36"/>
      <c r="F33" s="41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39"/>
      <c r="AK33" s="40"/>
      <c r="AL33" s="60"/>
    </row>
    <row r="34" spans="1:38" ht="23.25" customHeight="1" x14ac:dyDescent="0.25">
      <c r="A34" s="59">
        <v>28</v>
      </c>
      <c r="B34" s="64" t="s">
        <v>86</v>
      </c>
      <c r="C34" s="65" t="s">
        <v>87</v>
      </c>
      <c r="D34" s="35"/>
      <c r="E34" s="36"/>
      <c r="F34" s="41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39"/>
      <c r="AK34" s="40"/>
      <c r="AL34" s="60"/>
    </row>
    <row r="35" spans="1:38" ht="23.25" customHeight="1" x14ac:dyDescent="0.25">
      <c r="A35" s="59">
        <v>29</v>
      </c>
      <c r="B35" s="64" t="s">
        <v>88</v>
      </c>
      <c r="C35" s="65" t="s">
        <v>89</v>
      </c>
      <c r="D35" s="35"/>
      <c r="E35" s="36"/>
      <c r="F35" s="41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39"/>
      <c r="AK35" s="40"/>
      <c r="AL35" s="60"/>
    </row>
    <row r="36" spans="1:38" ht="23.25" customHeight="1" x14ac:dyDescent="0.25">
      <c r="A36" s="59">
        <v>30</v>
      </c>
      <c r="B36" s="64" t="s">
        <v>90</v>
      </c>
      <c r="C36" s="65" t="s">
        <v>91</v>
      </c>
      <c r="D36" s="35"/>
      <c r="E36" s="36"/>
      <c r="F36" s="41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39"/>
      <c r="AK36" s="40"/>
      <c r="AL36" s="60"/>
    </row>
    <row r="37" spans="1:38" ht="23.25" customHeight="1" x14ac:dyDescent="0.25">
      <c r="A37" s="59">
        <v>31</v>
      </c>
      <c r="B37" s="64" t="s">
        <v>92</v>
      </c>
      <c r="C37" s="65" t="s">
        <v>93</v>
      </c>
      <c r="D37" s="35"/>
      <c r="E37" s="36"/>
      <c r="F37" s="41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39"/>
      <c r="AK37" s="40"/>
      <c r="AL37" s="60"/>
    </row>
    <row r="38" spans="1:38" ht="23.25" customHeight="1" x14ac:dyDescent="0.25">
      <c r="A38" s="59">
        <v>32</v>
      </c>
      <c r="B38" s="64" t="s">
        <v>94</v>
      </c>
      <c r="C38" s="65" t="s">
        <v>95</v>
      </c>
      <c r="D38" s="35"/>
      <c r="E38" s="36"/>
      <c r="F38" s="41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39"/>
      <c r="AK38" s="40"/>
      <c r="AL38" s="60"/>
    </row>
    <row r="39" spans="1:38" ht="23.25" customHeight="1" x14ac:dyDescent="0.25">
      <c r="A39" s="59">
        <v>33</v>
      </c>
      <c r="B39" s="64" t="s">
        <v>96</v>
      </c>
      <c r="C39" s="65" t="s">
        <v>97</v>
      </c>
      <c r="D39" s="35"/>
      <c r="E39" s="36"/>
      <c r="F39" s="41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39"/>
      <c r="AK39" s="40"/>
      <c r="AL39" s="60"/>
    </row>
    <row r="40" spans="1:38" ht="23.25" customHeight="1" x14ac:dyDescent="0.25">
      <c r="A40" s="59">
        <v>34</v>
      </c>
      <c r="B40" s="64" t="s">
        <v>98</v>
      </c>
      <c r="C40" s="65" t="s">
        <v>99</v>
      </c>
      <c r="D40" s="35"/>
      <c r="E40" s="36"/>
      <c r="F40" s="41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39"/>
      <c r="AK40" s="40"/>
      <c r="AL40" s="60"/>
    </row>
    <row r="41" spans="1:38" ht="23.25" customHeight="1" x14ac:dyDescent="0.25">
      <c r="A41" s="59">
        <v>35</v>
      </c>
      <c r="B41" s="64" t="s">
        <v>100</v>
      </c>
      <c r="C41" s="65" t="s">
        <v>101</v>
      </c>
      <c r="D41" s="35"/>
      <c r="E41" s="36"/>
      <c r="F41" s="41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39"/>
      <c r="AK41" s="40"/>
      <c r="AL41" s="60"/>
    </row>
    <row r="42" spans="1:38" ht="23.25" customHeight="1" x14ac:dyDescent="0.25">
      <c r="A42" s="59">
        <v>36</v>
      </c>
      <c r="B42" s="64" t="s">
        <v>102</v>
      </c>
      <c r="C42" s="65" t="s">
        <v>103</v>
      </c>
      <c r="D42" s="35"/>
      <c r="E42" s="36"/>
      <c r="F42" s="41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39"/>
      <c r="AK42" s="40"/>
      <c r="AL42" s="60"/>
    </row>
    <row r="43" spans="1:38" ht="23.25" customHeight="1" x14ac:dyDescent="0.25">
      <c r="A43" s="59">
        <v>37</v>
      </c>
      <c r="B43" s="64" t="s">
        <v>104</v>
      </c>
      <c r="C43" s="65" t="s">
        <v>105</v>
      </c>
      <c r="D43" s="35"/>
      <c r="E43" s="36"/>
      <c r="F43" s="41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39"/>
      <c r="AK43" s="40"/>
      <c r="AL43" s="60"/>
    </row>
    <row r="44" spans="1:38" ht="23.25" customHeight="1" x14ac:dyDescent="0.25">
      <c r="A44" s="59">
        <v>38</v>
      </c>
      <c r="B44" s="64"/>
      <c r="C44" s="65"/>
      <c r="D44" s="35"/>
      <c r="E44" s="36"/>
      <c r="F44" s="41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39"/>
      <c r="AK44" s="40"/>
      <c r="AL44" s="60"/>
    </row>
    <row r="45" spans="1:38" ht="23.25" customHeight="1" x14ac:dyDescent="0.25">
      <c r="A45" s="59">
        <v>39</v>
      </c>
      <c r="B45" s="64"/>
      <c r="C45" s="65"/>
      <c r="D45" s="35"/>
      <c r="E45" s="36"/>
      <c r="F45" s="41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39"/>
      <c r="AK45" s="40"/>
      <c r="AL45" s="60"/>
    </row>
    <row r="46" spans="1:38" ht="23.25" customHeight="1" x14ac:dyDescent="0.25">
      <c r="A46" s="59">
        <v>40</v>
      </c>
      <c r="B46" s="64"/>
      <c r="C46" s="65"/>
      <c r="D46" s="35"/>
      <c r="E46" s="36"/>
      <c r="F46" s="41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39"/>
      <c r="AK46" s="40"/>
      <c r="AL46" s="60"/>
    </row>
    <row r="47" spans="1:38" ht="23.25" customHeight="1" x14ac:dyDescent="0.25">
      <c r="A47" s="59">
        <v>41</v>
      </c>
      <c r="B47" s="64"/>
      <c r="C47" s="65"/>
      <c r="D47" s="35"/>
      <c r="E47" s="36"/>
      <c r="F47" s="41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39"/>
      <c r="AK47" s="40"/>
      <c r="AL47" s="60"/>
    </row>
    <row r="48" spans="1:38" ht="23.25" customHeight="1" x14ac:dyDescent="0.25">
      <c r="A48" s="59">
        <v>42</v>
      </c>
      <c r="B48" s="64"/>
      <c r="C48" s="65"/>
      <c r="D48" s="35"/>
      <c r="E48" s="36"/>
      <c r="F48" s="41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39"/>
      <c r="AK48" s="40"/>
      <c r="AL48" s="60"/>
    </row>
    <row r="49" spans="1:38" ht="23.25" customHeight="1" x14ac:dyDescent="0.25">
      <c r="A49" s="59">
        <v>43</v>
      </c>
      <c r="B49" s="64" t="s">
        <v>106</v>
      </c>
      <c r="C49" s="65" t="s">
        <v>107</v>
      </c>
      <c r="D49" s="35"/>
      <c r="E49" s="36"/>
      <c r="F49" s="41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39"/>
      <c r="AK49" s="40"/>
      <c r="AL49" s="60"/>
    </row>
    <row r="50" spans="1:38" ht="23.25" customHeight="1" x14ac:dyDescent="0.25">
      <c r="A50" s="59">
        <v>44</v>
      </c>
      <c r="B50" s="64"/>
      <c r="C50" s="65"/>
      <c r="D50" s="35"/>
      <c r="E50" s="36"/>
      <c r="F50" s="41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39"/>
      <c r="AK50" s="40"/>
      <c r="AL50" s="60"/>
    </row>
    <row r="51" spans="1:38" ht="23.25" customHeight="1" x14ac:dyDescent="0.25">
      <c r="A51" s="59">
        <v>45</v>
      </c>
      <c r="B51" s="64"/>
      <c r="C51" s="65"/>
      <c r="D51" s="35"/>
      <c r="E51" s="36"/>
      <c r="F51" s="41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39"/>
      <c r="AK51" s="40"/>
      <c r="AL51" s="60"/>
    </row>
    <row r="52" spans="1:38" ht="23.25" customHeight="1" x14ac:dyDescent="0.25">
      <c r="A52" s="59">
        <v>46</v>
      </c>
      <c r="B52" s="64"/>
      <c r="C52" s="65"/>
      <c r="D52" s="35"/>
      <c r="E52" s="36"/>
      <c r="F52" s="41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39"/>
      <c r="AK52" s="40"/>
      <c r="AL52" s="60"/>
    </row>
    <row r="53" spans="1:38" ht="23.25" customHeight="1" x14ac:dyDescent="0.25">
      <c r="A53" s="59">
        <v>47</v>
      </c>
      <c r="B53" s="64"/>
      <c r="C53" s="65"/>
      <c r="D53" s="35"/>
      <c r="E53" s="36"/>
      <c r="F53" s="41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39"/>
      <c r="AK53" s="40"/>
      <c r="AL53" s="60"/>
    </row>
    <row r="54" spans="1:38" ht="23.25" customHeight="1" x14ac:dyDescent="0.25">
      <c r="A54" s="59">
        <v>48</v>
      </c>
      <c r="B54" s="64"/>
      <c r="C54" s="65"/>
      <c r="D54" s="35"/>
      <c r="E54" s="36"/>
      <c r="F54" s="41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39"/>
      <c r="AK54" s="40"/>
      <c r="AL54" s="60"/>
    </row>
    <row r="55" spans="1:38" ht="23.25" customHeight="1" x14ac:dyDescent="0.25">
      <c r="A55" s="59">
        <v>49</v>
      </c>
      <c r="B55" s="64" t="s">
        <v>108</v>
      </c>
      <c r="C55" s="65" t="s">
        <v>109</v>
      </c>
      <c r="D55" s="35"/>
      <c r="E55" s="36"/>
      <c r="F55" s="41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39"/>
      <c r="AK55" s="40"/>
      <c r="AL55" s="60"/>
    </row>
    <row r="56" spans="1:38" ht="23.25" customHeight="1" x14ac:dyDescent="0.25">
      <c r="A56" s="59">
        <v>50</v>
      </c>
      <c r="B56" s="64" t="s">
        <v>110</v>
      </c>
      <c r="C56" s="65" t="s">
        <v>111</v>
      </c>
      <c r="D56" s="35"/>
      <c r="E56" s="36"/>
      <c r="F56" s="41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39"/>
      <c r="AK56" s="40"/>
      <c r="AL56" s="60"/>
    </row>
    <row r="57" spans="1:38" ht="23.25" customHeight="1" x14ac:dyDescent="0.25">
      <c r="A57" s="59">
        <v>51</v>
      </c>
      <c r="B57" s="64" t="s">
        <v>112</v>
      </c>
      <c r="C57" s="65" t="s">
        <v>113</v>
      </c>
      <c r="D57" s="35"/>
      <c r="E57" s="36"/>
      <c r="F57" s="41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39"/>
      <c r="AK57" s="40"/>
      <c r="AL57" s="60"/>
    </row>
    <row r="58" spans="1:38" ht="23.25" customHeight="1" x14ac:dyDescent="0.25">
      <c r="A58" s="59">
        <v>52</v>
      </c>
      <c r="B58" s="64" t="s">
        <v>114</v>
      </c>
      <c r="C58" s="65" t="s">
        <v>115</v>
      </c>
      <c r="D58" s="35"/>
      <c r="E58" s="36"/>
      <c r="F58" s="41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39"/>
      <c r="AK58" s="40"/>
      <c r="AL58" s="60"/>
    </row>
    <row r="59" spans="1:38" ht="23.25" customHeight="1" x14ac:dyDescent="0.25">
      <c r="A59" s="59">
        <v>53</v>
      </c>
      <c r="B59" s="64" t="s">
        <v>116</v>
      </c>
      <c r="C59" s="65" t="s">
        <v>117</v>
      </c>
      <c r="D59" s="35"/>
      <c r="E59" s="36"/>
      <c r="F59" s="41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39"/>
      <c r="AK59" s="40"/>
      <c r="AL59" s="60"/>
    </row>
    <row r="60" spans="1:38" ht="23.25" customHeight="1" x14ac:dyDescent="0.25">
      <c r="A60" s="59">
        <v>54</v>
      </c>
      <c r="B60" s="64" t="s">
        <v>108</v>
      </c>
      <c r="C60" s="65" t="s">
        <v>109</v>
      </c>
      <c r="D60" s="35"/>
      <c r="E60" s="36"/>
      <c r="F60" s="41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39"/>
      <c r="AK60" s="40"/>
      <c r="AL60" s="60"/>
    </row>
    <row r="61" spans="1:38" ht="23.25" customHeight="1" x14ac:dyDescent="0.25">
      <c r="A61" s="59">
        <v>55</v>
      </c>
      <c r="B61" s="64" t="s">
        <v>110</v>
      </c>
      <c r="C61" s="65" t="s">
        <v>111</v>
      </c>
      <c r="D61" s="35"/>
      <c r="E61" s="36"/>
      <c r="F61" s="41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39"/>
      <c r="AK61" s="40"/>
      <c r="AL61" s="60"/>
    </row>
    <row r="62" spans="1:38" ht="23.25" customHeight="1" x14ac:dyDescent="0.25">
      <c r="A62" s="59">
        <v>56</v>
      </c>
      <c r="B62" s="64" t="s">
        <v>112</v>
      </c>
      <c r="C62" s="65" t="s">
        <v>113</v>
      </c>
      <c r="D62" s="35"/>
      <c r="E62" s="36"/>
      <c r="F62" s="41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39"/>
      <c r="AK62" s="40"/>
      <c r="AL62" s="60"/>
    </row>
    <row r="63" spans="1:38" ht="23.25" customHeight="1" x14ac:dyDescent="0.25">
      <c r="A63" s="59">
        <v>57</v>
      </c>
      <c r="B63" s="64" t="s">
        <v>114</v>
      </c>
      <c r="C63" s="65" t="s">
        <v>115</v>
      </c>
      <c r="D63" s="35"/>
      <c r="E63" s="36"/>
      <c r="F63" s="41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39"/>
      <c r="AK63" s="40"/>
      <c r="AL63" s="60"/>
    </row>
    <row r="64" spans="1:38" ht="23.25" customHeight="1" x14ac:dyDescent="0.25">
      <c r="A64" s="59">
        <v>58</v>
      </c>
      <c r="B64" s="64" t="s">
        <v>116</v>
      </c>
      <c r="C64" s="65" t="s">
        <v>117</v>
      </c>
      <c r="D64" s="35"/>
      <c r="E64" s="36"/>
      <c r="F64" s="41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39"/>
      <c r="AK64" s="40"/>
      <c r="AL64" s="60"/>
    </row>
    <row r="65" spans="1:38" ht="23.25" customHeight="1" x14ac:dyDescent="0.25">
      <c r="A65" s="59">
        <v>59</v>
      </c>
      <c r="B65" s="64" t="s">
        <v>118</v>
      </c>
      <c r="C65" s="65" t="s">
        <v>119</v>
      </c>
      <c r="D65" s="35"/>
      <c r="E65" s="36"/>
      <c r="F65" s="41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39"/>
      <c r="AK65" s="40"/>
      <c r="AL65" s="60"/>
    </row>
    <row r="66" spans="1:38" ht="23.25" customHeight="1" thickBot="1" x14ac:dyDescent="0.3">
      <c r="A66" s="61">
        <v>60</v>
      </c>
      <c r="B66" s="66" t="s">
        <v>120</v>
      </c>
      <c r="C66" s="67" t="s">
        <v>121</v>
      </c>
      <c r="D66" s="43"/>
      <c r="E66" s="44"/>
      <c r="F66" s="41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39"/>
      <c r="AK66" s="40"/>
      <c r="AL66" s="60"/>
    </row>
    <row r="67" spans="1:38" ht="8.25" customHeight="1" thickTop="1" x14ac:dyDescent="0.25">
      <c r="A67" s="45"/>
      <c r="B67" s="46"/>
      <c r="C67" s="45"/>
      <c r="D67" s="46"/>
      <c r="E67" s="45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</row>
  </sheetData>
  <sheetProtection selectLockedCells="1"/>
  <sortState xmlns:xlrd2="http://schemas.microsoft.com/office/spreadsheetml/2017/richdata2" ref="A10:DV66">
    <sortCondition ref="D10:D66"/>
  </sortState>
  <dataConsolidate/>
  <mergeCells count="2">
    <mergeCell ref="C5:E5"/>
    <mergeCell ref="C4:E4"/>
  </mergeCells>
  <conditionalFormatting sqref="F5:AI6 G4:AJ4">
    <cfRule type="expression" dxfId="11" priority="29">
      <formula>IF(MOD(F$5,2)=0,TRUE,FALSE)</formula>
    </cfRule>
  </conditionalFormatting>
  <conditionalFormatting sqref="F4">
    <cfRule type="expression" dxfId="10" priority="27">
      <formula>IF(MOD(F$5,2)=0,TRUE,FALSE)</formula>
    </cfRule>
  </conditionalFormatting>
  <conditionalFormatting sqref="F7:L66 N7:AI66">
    <cfRule type="cellIs" dxfId="9" priority="1" operator="equal">
      <formula>5</formula>
    </cfRule>
    <cfRule type="cellIs" dxfId="8" priority="2" operator="equal">
      <formula>4</formula>
    </cfRule>
    <cfRule type="cellIs" dxfId="7" priority="3" operator="equal">
      <formula>3</formula>
    </cfRule>
    <cfRule type="cellIs" dxfId="6" priority="4" operator="equal">
      <formula>2</formula>
    </cfRule>
    <cfRule type="cellIs" dxfId="5" priority="5" operator="equal">
      <formula>1</formula>
    </cfRule>
    <cfRule type="expression" dxfId="4" priority="8">
      <formula>IF(MOD(F$5,2)=0,TRUE,FALSE)</formula>
    </cfRule>
  </conditionalFormatting>
  <conditionalFormatting sqref="F6:AI6">
    <cfRule type="cellIs" dxfId="3" priority="7" operator="equal">
      <formula>""</formula>
    </cfRule>
  </conditionalFormatting>
  <conditionalFormatting sqref="AK7:AK66">
    <cfRule type="cellIs" dxfId="2" priority="6" operator="lessThan">
      <formula>3.95</formula>
    </cfRule>
  </conditionalFormatting>
  <dataValidations count="2">
    <dataValidation type="whole" operator="greaterThan" allowBlank="1" showDropDown="1" showInputMessage="1" showErrorMessage="1" sqref="E7:E66" xr:uid="{00000000-0002-0000-0000-000000000000}">
      <formula1>0</formula1>
    </dataValidation>
    <dataValidation type="whole" allowBlank="1" showDropDown="1" showInputMessage="1" showErrorMessage="1" sqref="M7:M66" xr:uid="{00000000-0002-0000-0000-000008000000}">
      <formula1>0</formula1>
      <formula2>24</formula2>
    </dataValidation>
  </dataValidations>
  <pageMargins left="0.70866141732283472" right="0.70866141732283472" top="0.74803149606299213" bottom="0.74803149606299213" header="0.31496062992125984" footer="0.31496062992125984"/>
  <pageSetup scale="2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01" r:id="rId4" name="Button 53">
              <controlPr defaultSize="0" print="0" autoFill="0" autoPict="0" macro="[0]!Hoja1.ordena">
                <anchor moveWithCells="1" sizeWithCells="1">
                  <from>
                    <xdr:col>0</xdr:col>
                    <xdr:colOff>152400</xdr:colOff>
                    <xdr:row>3</xdr:row>
                    <xdr:rowOff>95250</xdr:rowOff>
                  </from>
                  <to>
                    <xdr:col>1</xdr:col>
                    <xdr:colOff>1514475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9">
        <x14:dataValidation type="list" allowBlank="1" showDropDown="1" showInputMessage="1" showErrorMessage="1" xr:uid="{00000000-0002-0000-0000-000001000000}">
          <x14:formula1>
            <xm:f>Hoja1!$J$62:$R$62</xm:f>
          </x14:formula1>
          <xm:sqref>F7:F66</xm:sqref>
        </x14:dataValidation>
        <x14:dataValidation type="list" allowBlank="1" showDropDown="1" showInputMessage="1" showErrorMessage="1" xr:uid="{00000000-0002-0000-0000-000002000000}">
          <x14:formula1>
            <xm:f>Hoja1!$J$63:$R$63</xm:f>
          </x14:formula1>
          <xm:sqref>G7:G66</xm:sqref>
        </x14:dataValidation>
        <x14:dataValidation type="list" allowBlank="1" showDropDown="1" showInputMessage="1" showErrorMessage="1" xr:uid="{00000000-0002-0000-0000-000003000000}">
          <x14:formula1>
            <xm:f>Hoja1!$J$64:$R$64</xm:f>
          </x14:formula1>
          <xm:sqref>H7:H66</xm:sqref>
        </x14:dataValidation>
        <x14:dataValidation type="list" allowBlank="1" showDropDown="1" showInputMessage="1" showErrorMessage="1" xr:uid="{00000000-0002-0000-0000-000004000000}">
          <x14:formula1>
            <xm:f>Hoja1!$J$65:$R$65</xm:f>
          </x14:formula1>
          <xm:sqref>I7:I66</xm:sqref>
        </x14:dataValidation>
        <x14:dataValidation type="list" allowBlank="1" showDropDown="1" showInputMessage="1" showErrorMessage="1" xr:uid="{00000000-0002-0000-0000-000005000000}">
          <x14:formula1>
            <xm:f>Hoja1!$J$66:$R$66</xm:f>
          </x14:formula1>
          <xm:sqref>J7:J66</xm:sqref>
        </x14:dataValidation>
        <x14:dataValidation type="list" allowBlank="1" showDropDown="1" showInputMessage="1" showErrorMessage="1" xr:uid="{00000000-0002-0000-0000-000006000000}">
          <x14:formula1>
            <xm:f>Hoja1!$J$67:$R$67</xm:f>
          </x14:formula1>
          <xm:sqref>K7:K66</xm:sqref>
        </x14:dataValidation>
        <x14:dataValidation type="list" allowBlank="1" showDropDown="1" showInputMessage="1" showErrorMessage="1" xr:uid="{00000000-0002-0000-0000-000007000000}">
          <x14:formula1>
            <xm:f>Hoja1!$J$68:$R$68</xm:f>
          </x14:formula1>
          <xm:sqref>L7:L66</xm:sqref>
        </x14:dataValidation>
        <x14:dataValidation type="list" allowBlank="1" showDropDown="1" showInputMessage="1" showErrorMessage="1" xr:uid="{00000000-0002-0000-0000-000009000000}">
          <x14:formula1>
            <xm:f>Hoja1!$J$70:$R$70</xm:f>
          </x14:formula1>
          <xm:sqref>N7:N66</xm:sqref>
        </x14:dataValidation>
        <x14:dataValidation type="list" allowBlank="1" showDropDown="1" showInputMessage="1" showErrorMessage="1" xr:uid="{00000000-0002-0000-0000-00000A000000}">
          <x14:formula1>
            <xm:f>Hoja1!$J$71:$R$71</xm:f>
          </x14:formula1>
          <xm:sqref>O7:O66</xm:sqref>
        </x14:dataValidation>
        <x14:dataValidation type="list" allowBlank="1" showDropDown="1" showInputMessage="1" showErrorMessage="1" xr:uid="{00000000-0002-0000-0000-00000B000000}">
          <x14:formula1>
            <xm:f>Hoja1!$J$72:$R$72</xm:f>
          </x14:formula1>
          <xm:sqref>P7:P66</xm:sqref>
        </x14:dataValidation>
        <x14:dataValidation type="list" allowBlank="1" showDropDown="1" showInputMessage="1" showErrorMessage="1" xr:uid="{00000000-0002-0000-0000-00000C000000}">
          <x14:formula1>
            <xm:f>Hoja1!$J$73:$R$73</xm:f>
          </x14:formula1>
          <xm:sqref>Q7:Q66</xm:sqref>
        </x14:dataValidation>
        <x14:dataValidation type="list" allowBlank="1" showDropDown="1" showInputMessage="1" showErrorMessage="1" xr:uid="{00000000-0002-0000-0000-00000D000000}">
          <x14:formula1>
            <xm:f>Hoja1!$J$74:$R$74</xm:f>
          </x14:formula1>
          <xm:sqref>R7:R66</xm:sqref>
        </x14:dataValidation>
        <x14:dataValidation type="list" allowBlank="1" showDropDown="1" showInputMessage="1" showErrorMessage="1" xr:uid="{00000000-0002-0000-0000-00000E000000}">
          <x14:formula1>
            <xm:f>Hoja1!$J$75:$R$75</xm:f>
          </x14:formula1>
          <xm:sqref>S7:S66</xm:sqref>
        </x14:dataValidation>
        <x14:dataValidation type="list" allowBlank="1" showDropDown="1" showInputMessage="1" showErrorMessage="1" xr:uid="{00000000-0002-0000-0000-00000F000000}">
          <x14:formula1>
            <xm:f>Hoja1!$J$76:$R$76</xm:f>
          </x14:formula1>
          <xm:sqref>T7:T66</xm:sqref>
        </x14:dataValidation>
        <x14:dataValidation type="list" allowBlank="1" showDropDown="1" showInputMessage="1" showErrorMessage="1" xr:uid="{00000000-0002-0000-0000-000010000000}">
          <x14:formula1>
            <xm:f>Hoja1!$J$77:$R$77</xm:f>
          </x14:formula1>
          <xm:sqref>U7:U66</xm:sqref>
        </x14:dataValidation>
        <x14:dataValidation type="list" allowBlank="1" showDropDown="1" showInputMessage="1" showErrorMessage="1" xr:uid="{00000000-0002-0000-0000-000011000000}">
          <x14:formula1>
            <xm:f>Hoja1!$J$78:$R$78</xm:f>
          </x14:formula1>
          <xm:sqref>V7:V66</xm:sqref>
        </x14:dataValidation>
        <x14:dataValidation type="list" allowBlank="1" showDropDown="1" showInputMessage="1" showErrorMessage="1" xr:uid="{00000000-0002-0000-0000-000012000000}">
          <x14:formula1>
            <xm:f>Hoja1!$J$79:$R$79</xm:f>
          </x14:formula1>
          <xm:sqref>W7:W66</xm:sqref>
        </x14:dataValidation>
        <x14:dataValidation type="list" allowBlank="1" showDropDown="1" showInputMessage="1" showErrorMessage="1" xr:uid="{00000000-0002-0000-0000-000013000000}">
          <x14:formula1>
            <xm:f>Hoja1!$J$80:$R$80</xm:f>
          </x14:formula1>
          <xm:sqref>X7:X66</xm:sqref>
        </x14:dataValidation>
        <x14:dataValidation type="list" allowBlank="1" showDropDown="1" showInputMessage="1" showErrorMessage="1" xr:uid="{00000000-0002-0000-0000-000014000000}">
          <x14:formula1>
            <xm:f>Hoja1!$J$81:$R$81</xm:f>
          </x14:formula1>
          <xm:sqref>Y7:Y66</xm:sqref>
        </x14:dataValidation>
        <x14:dataValidation type="list" allowBlank="1" showDropDown="1" showInputMessage="1" showErrorMessage="1" xr:uid="{00000000-0002-0000-0000-000015000000}">
          <x14:formula1>
            <xm:f>Hoja1!$J$82:$R$82</xm:f>
          </x14:formula1>
          <xm:sqref>Z7:Z66</xm:sqref>
        </x14:dataValidation>
        <x14:dataValidation type="list" allowBlank="1" showDropDown="1" showInputMessage="1" showErrorMessage="1" xr:uid="{00000000-0002-0000-0000-000016000000}">
          <x14:formula1>
            <xm:f>Hoja1!$J$83:$R$83</xm:f>
          </x14:formula1>
          <xm:sqref>AA7:AA66</xm:sqref>
        </x14:dataValidation>
        <x14:dataValidation type="list" allowBlank="1" showDropDown="1" showInputMessage="1" showErrorMessage="1" xr:uid="{00000000-0002-0000-0000-000017000000}">
          <x14:formula1>
            <xm:f>Hoja1!$J$84:$R$84</xm:f>
          </x14:formula1>
          <xm:sqref>AB7:AB66</xm:sqref>
        </x14:dataValidation>
        <x14:dataValidation type="list" allowBlank="1" showDropDown="1" showInputMessage="1" showErrorMessage="1" xr:uid="{00000000-0002-0000-0000-000018000000}">
          <x14:formula1>
            <xm:f>Hoja1!$J$85:$R$85</xm:f>
          </x14:formula1>
          <xm:sqref>AC7:AC66</xm:sqref>
        </x14:dataValidation>
        <x14:dataValidation type="list" allowBlank="1" showDropDown="1" showInputMessage="1" showErrorMessage="1" xr:uid="{00000000-0002-0000-0000-000019000000}">
          <x14:formula1>
            <xm:f>Hoja1!$J$86:$R$86</xm:f>
          </x14:formula1>
          <xm:sqref>AD7:AD66</xm:sqref>
        </x14:dataValidation>
        <x14:dataValidation type="list" allowBlank="1" showDropDown="1" showInputMessage="1" showErrorMessage="1" xr:uid="{00000000-0002-0000-0000-00001A000000}">
          <x14:formula1>
            <xm:f>Hoja1!$J$87:$R$87</xm:f>
          </x14:formula1>
          <xm:sqref>AE7:AE66</xm:sqref>
        </x14:dataValidation>
        <x14:dataValidation type="list" allowBlank="1" showDropDown="1" showInputMessage="1" showErrorMessage="1" xr:uid="{00000000-0002-0000-0000-00001B000000}">
          <x14:formula1>
            <xm:f>Hoja1!$J$88:$R$88</xm:f>
          </x14:formula1>
          <xm:sqref>AF7:AF66</xm:sqref>
        </x14:dataValidation>
        <x14:dataValidation type="list" allowBlank="1" showDropDown="1" showInputMessage="1" showErrorMessage="1" xr:uid="{00000000-0002-0000-0000-00001C000000}">
          <x14:formula1>
            <xm:f>Hoja1!$J$89:$R$89</xm:f>
          </x14:formula1>
          <xm:sqref>AG7:AG66</xm:sqref>
        </x14:dataValidation>
        <x14:dataValidation type="list" allowBlank="1" showDropDown="1" showInputMessage="1" showErrorMessage="1" xr:uid="{00000000-0002-0000-0000-00001D000000}">
          <x14:formula1>
            <xm:f>Hoja1!$J$90:$R$90</xm:f>
          </x14:formula1>
          <xm:sqref>AH7:AH66</xm:sqref>
        </x14:dataValidation>
        <x14:dataValidation type="list" allowBlank="1" showDropDown="1" showInputMessage="1" showErrorMessage="1" xr:uid="{00000000-0002-0000-0000-00001E000000}">
          <x14:formula1>
            <xm:f>Hoja1!$J$91:$R$91</xm:f>
          </x14:formula1>
          <xm:sqref>AI7:AI66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S121"/>
  <sheetViews>
    <sheetView showGridLines="0" workbookViewId="0">
      <selection activeCell="B37" sqref="B37"/>
    </sheetView>
  </sheetViews>
  <sheetFormatPr baseColWidth="10" defaultRowHeight="15" x14ac:dyDescent="0.25"/>
  <cols>
    <col min="1" max="1" width="14.42578125" style="4" customWidth="1"/>
    <col min="2" max="2" width="17.140625" bestFit="1" customWidth="1"/>
    <col min="3" max="3" width="29" customWidth="1"/>
    <col min="4" max="4" width="9.85546875" bestFit="1" customWidth="1"/>
  </cols>
  <sheetData>
    <row r="1" spans="1:14" ht="34.5" customHeight="1" x14ac:dyDescent="0.25">
      <c r="A1" s="6" t="s">
        <v>11</v>
      </c>
      <c r="B1" s="7" t="s">
        <v>10</v>
      </c>
      <c r="C1" s="7" t="s">
        <v>12</v>
      </c>
      <c r="D1" s="7" t="s">
        <v>13</v>
      </c>
      <c r="E1" t="s">
        <v>9</v>
      </c>
      <c r="F1" t="s">
        <v>5</v>
      </c>
      <c r="G1" t="s">
        <v>6</v>
      </c>
      <c r="H1" t="s">
        <v>7</v>
      </c>
      <c r="I1">
        <f>SUM(I2:I61)</f>
        <v>48</v>
      </c>
      <c r="J1" t="s">
        <v>8</v>
      </c>
    </row>
    <row r="2" spans="1:14" x14ac:dyDescent="0.25">
      <c r="A2" s="3">
        <v>1</v>
      </c>
      <c r="B2" s="1" t="s">
        <v>21</v>
      </c>
      <c r="C2" s="1" t="s">
        <v>22</v>
      </c>
      <c r="D2" s="1">
        <f t="array" ref="D2:D10">TRANSPOSE(J2:R2)</f>
        <v>0</v>
      </c>
      <c r="E2" s="2">
        <f>ROUND(E3,2)</f>
        <v>0.6</v>
      </c>
      <c r="F2">
        <v>1</v>
      </c>
      <c r="G2" t="s">
        <v>33</v>
      </c>
      <c r="H2">
        <v>1</v>
      </c>
      <c r="I2">
        <f>MAX(J2:AK2)</f>
        <v>4</v>
      </c>
      <c r="J2">
        <v>0</v>
      </c>
      <c r="K2">
        <v>1.2</v>
      </c>
      <c r="L2">
        <v>2.4</v>
      </c>
      <c r="M2">
        <v>3.2</v>
      </c>
      <c r="N2">
        <v>4</v>
      </c>
    </row>
    <row r="3" spans="1:14" x14ac:dyDescent="0.25">
      <c r="A3" s="3">
        <v>2</v>
      </c>
      <c r="B3" s="1" t="s">
        <v>23</v>
      </c>
      <c r="C3" s="1" t="s">
        <v>24</v>
      </c>
      <c r="D3" s="1">
        <v>1.2</v>
      </c>
      <c r="E3">
        <v>0.6</v>
      </c>
      <c r="F3">
        <v>2</v>
      </c>
      <c r="G3" t="s">
        <v>34</v>
      </c>
      <c r="H3">
        <v>2</v>
      </c>
      <c r="I3">
        <f>MAX(J3:AK3)</f>
        <v>4</v>
      </c>
      <c r="J3">
        <v>0</v>
      </c>
      <c r="K3">
        <v>1.2</v>
      </c>
      <c r="L3">
        <v>2.4</v>
      </c>
      <c r="M3">
        <v>3.2</v>
      </c>
      <c r="N3">
        <v>4</v>
      </c>
    </row>
    <row r="4" spans="1:14" x14ac:dyDescent="0.25">
      <c r="A4" s="3">
        <v>3</v>
      </c>
      <c r="B4" s="1" t="s">
        <v>25</v>
      </c>
      <c r="C4" s="1" t="s">
        <v>26</v>
      </c>
      <c r="D4" s="1">
        <v>2.4</v>
      </c>
      <c r="F4">
        <v>3</v>
      </c>
      <c r="G4" t="s">
        <v>15</v>
      </c>
      <c r="H4">
        <v>3</v>
      </c>
      <c r="I4">
        <f>MAX(J4:AK4)</f>
        <v>2</v>
      </c>
      <c r="J4">
        <v>0</v>
      </c>
      <c r="K4">
        <v>0.6</v>
      </c>
      <c r="L4">
        <v>1.2</v>
      </c>
      <c r="M4">
        <v>1.6</v>
      </c>
      <c r="N4">
        <v>2</v>
      </c>
    </row>
    <row r="5" spans="1:14" x14ac:dyDescent="0.25">
      <c r="A5" s="3">
        <v>4</v>
      </c>
      <c r="B5" s="1" t="s">
        <v>27</v>
      </c>
      <c r="C5" s="1" t="s">
        <v>28</v>
      </c>
      <c r="D5" s="1">
        <v>3.2</v>
      </c>
      <c r="F5">
        <v>4</v>
      </c>
      <c r="G5" t="s">
        <v>16</v>
      </c>
      <c r="H5">
        <v>4</v>
      </c>
      <c r="I5">
        <v>2</v>
      </c>
      <c r="J5">
        <v>0</v>
      </c>
      <c r="K5">
        <v>0.6</v>
      </c>
      <c r="L5">
        <v>2.4</v>
      </c>
      <c r="M5">
        <v>1.6</v>
      </c>
      <c r="N5">
        <v>2</v>
      </c>
    </row>
    <row r="6" spans="1:14" x14ac:dyDescent="0.25">
      <c r="A6" s="3">
        <v>5</v>
      </c>
      <c r="B6" s="1" t="s">
        <v>29</v>
      </c>
      <c r="C6" s="1" t="s">
        <v>30</v>
      </c>
      <c r="D6" s="1">
        <v>4</v>
      </c>
      <c r="F6">
        <v>5</v>
      </c>
      <c r="G6" t="s">
        <v>17</v>
      </c>
      <c r="H6">
        <v>5</v>
      </c>
      <c r="I6">
        <f>MAX(J6:AK6)</f>
        <v>4</v>
      </c>
      <c r="J6">
        <v>0</v>
      </c>
      <c r="K6">
        <v>1.2</v>
      </c>
      <c r="L6">
        <v>2.4</v>
      </c>
      <c r="M6">
        <v>3.2</v>
      </c>
      <c r="N6">
        <v>4</v>
      </c>
    </row>
    <row r="7" spans="1:14" x14ac:dyDescent="0.25">
      <c r="A7" s="3"/>
      <c r="B7" s="1"/>
      <c r="C7" s="1"/>
      <c r="D7" s="1">
        <v>0</v>
      </c>
      <c r="F7">
        <v>6</v>
      </c>
      <c r="G7" t="s">
        <v>18</v>
      </c>
      <c r="H7">
        <v>6</v>
      </c>
      <c r="I7">
        <f>MAX(J7:AK7)</f>
        <v>4</v>
      </c>
      <c r="J7">
        <v>0</v>
      </c>
      <c r="K7">
        <v>1.2</v>
      </c>
      <c r="L7">
        <v>2.4</v>
      </c>
      <c r="M7">
        <v>3.2</v>
      </c>
      <c r="N7">
        <v>4</v>
      </c>
    </row>
    <row r="8" spans="1:14" x14ac:dyDescent="0.25">
      <c r="A8" s="3"/>
      <c r="B8" s="1"/>
      <c r="C8" s="1"/>
      <c r="D8" s="1">
        <v>0</v>
      </c>
      <c r="F8">
        <v>7</v>
      </c>
      <c r="G8" t="s">
        <v>19</v>
      </c>
      <c r="H8">
        <v>7</v>
      </c>
      <c r="I8">
        <f>MAX(J8:AK8)</f>
        <v>4</v>
      </c>
      <c r="J8">
        <v>0</v>
      </c>
      <c r="K8">
        <v>1.2</v>
      </c>
      <c r="L8">
        <v>2.4</v>
      </c>
      <c r="M8">
        <v>3.2</v>
      </c>
      <c r="N8">
        <v>4</v>
      </c>
    </row>
    <row r="9" spans="1:14" x14ac:dyDescent="0.25">
      <c r="A9" s="3"/>
      <c r="B9" s="1"/>
      <c r="C9" s="1"/>
      <c r="D9" s="1">
        <v>0</v>
      </c>
      <c r="F9">
        <v>8</v>
      </c>
      <c r="G9" t="s">
        <v>20</v>
      </c>
      <c r="H9">
        <v>8</v>
      </c>
      <c r="I9">
        <v>24</v>
      </c>
      <c r="J9">
        <v>1</v>
      </c>
    </row>
    <row r="10" spans="1:14" x14ac:dyDescent="0.25">
      <c r="A10" s="3"/>
      <c r="B10" s="1"/>
      <c r="C10" s="1"/>
      <c r="D10" s="1">
        <v>0</v>
      </c>
      <c r="F10">
        <v>9</v>
      </c>
      <c r="I10">
        <f t="shared" ref="I10:I61" si="0">MAX(J10:AK10)</f>
        <v>0</v>
      </c>
    </row>
    <row r="11" spans="1:14" x14ac:dyDescent="0.25">
      <c r="A11" s="3"/>
      <c r="B11" s="1"/>
      <c r="C11" s="1"/>
      <c r="D11" s="1"/>
      <c r="F11">
        <v>10</v>
      </c>
      <c r="I11">
        <f t="shared" si="0"/>
        <v>0</v>
      </c>
    </row>
    <row r="12" spans="1:14" x14ac:dyDescent="0.25">
      <c r="A12" s="3"/>
      <c r="B12" s="1"/>
      <c r="C12" s="1"/>
      <c r="D12" s="1"/>
      <c r="F12">
        <v>11</v>
      </c>
      <c r="I12">
        <f t="shared" si="0"/>
        <v>0</v>
      </c>
    </row>
    <row r="13" spans="1:14" x14ac:dyDescent="0.25">
      <c r="A13" s="3"/>
      <c r="B13" s="1"/>
      <c r="C13" s="1"/>
      <c r="D13" s="1"/>
      <c r="F13">
        <v>12</v>
      </c>
      <c r="I13">
        <f t="shared" si="0"/>
        <v>0</v>
      </c>
    </row>
    <row r="14" spans="1:14" x14ac:dyDescent="0.25">
      <c r="A14" s="3"/>
      <c r="B14" s="1"/>
      <c r="F14">
        <v>13</v>
      </c>
      <c r="I14">
        <f t="shared" si="0"/>
        <v>0</v>
      </c>
    </row>
    <row r="15" spans="1:14" x14ac:dyDescent="0.25">
      <c r="F15">
        <v>14</v>
      </c>
      <c r="I15">
        <f t="shared" si="0"/>
        <v>0</v>
      </c>
    </row>
    <row r="16" spans="1:14" x14ac:dyDescent="0.25">
      <c r="F16">
        <v>15</v>
      </c>
      <c r="I16">
        <f t="shared" si="0"/>
        <v>0</v>
      </c>
    </row>
    <row r="17" spans="6:9" x14ac:dyDescent="0.25">
      <c r="F17">
        <v>16</v>
      </c>
      <c r="I17">
        <f t="shared" si="0"/>
        <v>0</v>
      </c>
    </row>
    <row r="18" spans="6:9" x14ac:dyDescent="0.25">
      <c r="F18">
        <v>17</v>
      </c>
      <c r="I18">
        <f t="shared" si="0"/>
        <v>0</v>
      </c>
    </row>
    <row r="19" spans="6:9" x14ac:dyDescent="0.25">
      <c r="F19">
        <v>18</v>
      </c>
      <c r="I19">
        <f t="shared" si="0"/>
        <v>0</v>
      </c>
    </row>
    <row r="20" spans="6:9" x14ac:dyDescent="0.25">
      <c r="F20">
        <v>19</v>
      </c>
      <c r="I20">
        <f t="shared" si="0"/>
        <v>0</v>
      </c>
    </row>
    <row r="21" spans="6:9" ht="15.75" customHeight="1" x14ac:dyDescent="0.25">
      <c r="F21">
        <v>20</v>
      </c>
      <c r="I21">
        <f t="shared" si="0"/>
        <v>0</v>
      </c>
    </row>
    <row r="22" spans="6:9" x14ac:dyDescent="0.25">
      <c r="F22">
        <v>21</v>
      </c>
      <c r="I22">
        <f t="shared" si="0"/>
        <v>0</v>
      </c>
    </row>
    <row r="23" spans="6:9" x14ac:dyDescent="0.25">
      <c r="F23">
        <v>22</v>
      </c>
      <c r="I23">
        <f t="shared" si="0"/>
        <v>0</v>
      </c>
    </row>
    <row r="24" spans="6:9" x14ac:dyDescent="0.25">
      <c r="F24">
        <v>23</v>
      </c>
      <c r="I24">
        <f t="shared" si="0"/>
        <v>0</v>
      </c>
    </row>
    <row r="25" spans="6:9" x14ac:dyDescent="0.25">
      <c r="F25">
        <v>24</v>
      </c>
      <c r="I25">
        <f t="shared" si="0"/>
        <v>0</v>
      </c>
    </row>
    <row r="26" spans="6:9" x14ac:dyDescent="0.25">
      <c r="F26">
        <v>25</v>
      </c>
      <c r="I26">
        <f t="shared" si="0"/>
        <v>0</v>
      </c>
    </row>
    <row r="27" spans="6:9" x14ac:dyDescent="0.25">
      <c r="F27">
        <v>26</v>
      </c>
      <c r="I27">
        <f t="shared" si="0"/>
        <v>0</v>
      </c>
    </row>
    <row r="28" spans="6:9" x14ac:dyDescent="0.25">
      <c r="F28">
        <v>27</v>
      </c>
      <c r="I28">
        <f t="shared" si="0"/>
        <v>0</v>
      </c>
    </row>
    <row r="29" spans="6:9" x14ac:dyDescent="0.25">
      <c r="F29">
        <v>28</v>
      </c>
      <c r="I29">
        <f t="shared" si="0"/>
        <v>0</v>
      </c>
    </row>
    <row r="30" spans="6:9" x14ac:dyDescent="0.25">
      <c r="F30">
        <v>29</v>
      </c>
      <c r="I30">
        <f t="shared" si="0"/>
        <v>0</v>
      </c>
    </row>
    <row r="31" spans="6:9" x14ac:dyDescent="0.25">
      <c r="F31">
        <v>30</v>
      </c>
      <c r="I31">
        <f t="shared" si="0"/>
        <v>0</v>
      </c>
    </row>
    <row r="32" spans="6:9" x14ac:dyDescent="0.25">
      <c r="F32">
        <v>31</v>
      </c>
      <c r="I32">
        <f t="shared" si="0"/>
        <v>0</v>
      </c>
    </row>
    <row r="33" spans="6:9" x14ac:dyDescent="0.25">
      <c r="F33">
        <v>32</v>
      </c>
      <c r="I33">
        <f t="shared" si="0"/>
        <v>0</v>
      </c>
    </row>
    <row r="34" spans="6:9" x14ac:dyDescent="0.25">
      <c r="F34">
        <v>33</v>
      </c>
      <c r="I34">
        <f t="shared" si="0"/>
        <v>0</v>
      </c>
    </row>
    <row r="35" spans="6:9" x14ac:dyDescent="0.25">
      <c r="F35">
        <v>34</v>
      </c>
      <c r="I35">
        <f t="shared" si="0"/>
        <v>0</v>
      </c>
    </row>
    <row r="36" spans="6:9" x14ac:dyDescent="0.25">
      <c r="F36">
        <v>35</v>
      </c>
      <c r="I36">
        <f t="shared" si="0"/>
        <v>0</v>
      </c>
    </row>
    <row r="37" spans="6:9" x14ac:dyDescent="0.25">
      <c r="F37">
        <v>36</v>
      </c>
      <c r="I37">
        <f t="shared" si="0"/>
        <v>0</v>
      </c>
    </row>
    <row r="38" spans="6:9" x14ac:dyDescent="0.25">
      <c r="F38">
        <v>37</v>
      </c>
      <c r="I38">
        <f t="shared" si="0"/>
        <v>0</v>
      </c>
    </row>
    <row r="39" spans="6:9" x14ac:dyDescent="0.25">
      <c r="F39">
        <v>38</v>
      </c>
      <c r="I39">
        <f t="shared" si="0"/>
        <v>0</v>
      </c>
    </row>
    <row r="40" spans="6:9" x14ac:dyDescent="0.25">
      <c r="F40">
        <v>39</v>
      </c>
      <c r="I40">
        <f t="shared" si="0"/>
        <v>0</v>
      </c>
    </row>
    <row r="41" spans="6:9" x14ac:dyDescent="0.25">
      <c r="F41">
        <v>40</v>
      </c>
      <c r="I41">
        <f t="shared" si="0"/>
        <v>0</v>
      </c>
    </row>
    <row r="42" spans="6:9" x14ac:dyDescent="0.25">
      <c r="F42">
        <v>41</v>
      </c>
      <c r="I42">
        <f t="shared" si="0"/>
        <v>0</v>
      </c>
    </row>
    <row r="43" spans="6:9" x14ac:dyDescent="0.25">
      <c r="F43">
        <v>42</v>
      </c>
      <c r="I43">
        <f t="shared" si="0"/>
        <v>0</v>
      </c>
    </row>
    <row r="44" spans="6:9" x14ac:dyDescent="0.25">
      <c r="F44">
        <v>43</v>
      </c>
      <c r="I44">
        <f t="shared" si="0"/>
        <v>0</v>
      </c>
    </row>
    <row r="45" spans="6:9" x14ac:dyDescent="0.25">
      <c r="F45">
        <v>44</v>
      </c>
      <c r="I45">
        <f t="shared" si="0"/>
        <v>0</v>
      </c>
    </row>
    <row r="46" spans="6:9" x14ac:dyDescent="0.25">
      <c r="F46">
        <v>45</v>
      </c>
      <c r="I46">
        <f t="shared" si="0"/>
        <v>0</v>
      </c>
    </row>
    <row r="47" spans="6:9" x14ac:dyDescent="0.25">
      <c r="F47">
        <v>46</v>
      </c>
      <c r="I47">
        <f t="shared" si="0"/>
        <v>0</v>
      </c>
    </row>
    <row r="48" spans="6:9" x14ac:dyDescent="0.25">
      <c r="F48">
        <v>47</v>
      </c>
      <c r="I48">
        <f t="shared" si="0"/>
        <v>0</v>
      </c>
    </row>
    <row r="49" spans="6:19" x14ac:dyDescent="0.25">
      <c r="F49">
        <v>48</v>
      </c>
      <c r="I49">
        <f t="shared" si="0"/>
        <v>0</v>
      </c>
    </row>
    <row r="50" spans="6:19" x14ac:dyDescent="0.25">
      <c r="F50">
        <v>49</v>
      </c>
      <c r="I50">
        <f t="shared" si="0"/>
        <v>0</v>
      </c>
    </row>
    <row r="51" spans="6:19" x14ac:dyDescent="0.25">
      <c r="F51">
        <v>50</v>
      </c>
      <c r="I51">
        <f t="shared" si="0"/>
        <v>0</v>
      </c>
    </row>
    <row r="52" spans="6:19" x14ac:dyDescent="0.25">
      <c r="F52">
        <v>51</v>
      </c>
      <c r="I52">
        <f t="shared" si="0"/>
        <v>0</v>
      </c>
    </row>
    <row r="53" spans="6:19" x14ac:dyDescent="0.25">
      <c r="F53">
        <v>52</v>
      </c>
      <c r="I53">
        <f t="shared" si="0"/>
        <v>0</v>
      </c>
    </row>
    <row r="54" spans="6:19" x14ac:dyDescent="0.25">
      <c r="F54">
        <v>53</v>
      </c>
      <c r="I54">
        <f t="shared" si="0"/>
        <v>0</v>
      </c>
    </row>
    <row r="55" spans="6:19" x14ac:dyDescent="0.25">
      <c r="F55">
        <v>54</v>
      </c>
      <c r="I55">
        <f t="shared" si="0"/>
        <v>0</v>
      </c>
    </row>
    <row r="56" spans="6:19" x14ac:dyDescent="0.25">
      <c r="F56">
        <v>55</v>
      </c>
      <c r="I56">
        <f t="shared" si="0"/>
        <v>0</v>
      </c>
    </row>
    <row r="57" spans="6:19" x14ac:dyDescent="0.25">
      <c r="F57">
        <v>56</v>
      </c>
      <c r="I57">
        <f t="shared" si="0"/>
        <v>0</v>
      </c>
    </row>
    <row r="58" spans="6:19" x14ac:dyDescent="0.25">
      <c r="F58">
        <v>57</v>
      </c>
      <c r="I58">
        <f t="shared" si="0"/>
        <v>0</v>
      </c>
    </row>
    <row r="59" spans="6:19" x14ac:dyDescent="0.25">
      <c r="F59">
        <v>58</v>
      </c>
      <c r="I59">
        <f t="shared" si="0"/>
        <v>0</v>
      </c>
    </row>
    <row r="60" spans="6:19" x14ac:dyDescent="0.25">
      <c r="F60">
        <v>59</v>
      </c>
      <c r="I60">
        <f t="shared" si="0"/>
        <v>0</v>
      </c>
    </row>
    <row r="61" spans="6:19" x14ac:dyDescent="0.25">
      <c r="F61">
        <v>60</v>
      </c>
      <c r="I61">
        <f t="shared" si="0"/>
        <v>0</v>
      </c>
    </row>
    <row r="62" spans="6:19" x14ac:dyDescent="0.25">
      <c r="I62">
        <v>1</v>
      </c>
      <c r="J62">
        <v>1</v>
      </c>
      <c r="K62">
        <v>2</v>
      </c>
      <c r="L62">
        <f>IF(COUNTIF($J2:K2,K2)&gt;1,"",IF(K2&lt;&gt;"",$A$4,""))</f>
        <v>3</v>
      </c>
      <c r="M62">
        <f>IF(COUNTIF($J2:L2,L2)&gt;1,"",IF(L2&lt;&gt;"",$A$5,""))</f>
        <v>4</v>
      </c>
      <c r="N62">
        <f>IF(COUNTIF($J2:M2,M2)&gt;1,"",IF(M2&lt;&gt;"",$A$6,""))</f>
        <v>5</v>
      </c>
      <c r="P62" t="str">
        <f>IF(COUNTIF($J2:P2,P2)&gt;1,"",IF(P2&lt;&gt;"",$A$8,""))</f>
        <v/>
      </c>
      <c r="Q62" t="str">
        <f>IF(COUNTIF($J2:Q2,Q2)&gt;1,"",IF(Q2&lt;&gt;"",$A$9,""))</f>
        <v/>
      </c>
      <c r="R62" t="str">
        <f>IF(COUNTIF($J2:R2,R2)&gt;1,"",IF(R2&lt;&gt;"",$A$10,""))</f>
        <v/>
      </c>
      <c r="S62" s="5" t="str">
        <f>IF(COUNTIF($J2:S2,S2)&gt;1,"",IF(S2&lt;&gt;"",$A$11,""))</f>
        <v/>
      </c>
    </row>
    <row r="63" spans="6:19" x14ac:dyDescent="0.25">
      <c r="I63">
        <v>2</v>
      </c>
      <c r="J63">
        <v>1</v>
      </c>
      <c r="K63">
        <v>2</v>
      </c>
      <c r="L63">
        <f>IF(COUNTIF($J3:K3,K3)&gt;1,"",IF(K3&lt;&gt;"",$A$4,""))</f>
        <v>3</v>
      </c>
      <c r="M63">
        <f>IF(COUNTIF($J3:L3,L3)&gt;1,"",IF(L3&lt;&gt;"",$A$5,""))</f>
        <v>4</v>
      </c>
      <c r="N63">
        <f>IF(COUNTIF($J3:M3,M3)&gt;1,"",IF(M3&lt;&gt;"",$A$6,""))</f>
        <v>5</v>
      </c>
      <c r="P63" t="str">
        <f>IF(COUNTIF($J3:P3,P3)&gt;1,"",IF(P3&lt;&gt;"",$A$8,""))</f>
        <v/>
      </c>
      <c r="Q63" t="str">
        <f>IF(COUNTIF($J3:Q3,Q3)&gt;1,"",IF(Q3&lt;&gt;"",$A$9,""))</f>
        <v/>
      </c>
      <c r="R63" t="str">
        <f>IF(COUNTIF($J3:R3,R3)&gt;1,"",IF(R3&lt;&gt;"",$A$10,""))</f>
        <v/>
      </c>
      <c r="S63" s="5" t="str">
        <f>IF(COUNTIF($J3:S3,S3)&gt;1,"",IF(S3&lt;&gt;"",$A$11,""))</f>
        <v/>
      </c>
    </row>
    <row r="64" spans="6:19" x14ac:dyDescent="0.25">
      <c r="I64">
        <v>3</v>
      </c>
      <c r="J64">
        <v>1</v>
      </c>
      <c r="K64">
        <v>2</v>
      </c>
      <c r="L64">
        <f>IF(COUNTIF($J4:K4,K4)&gt;1,"",IF(K4&lt;&gt;"",$A$4,""))</f>
        <v>3</v>
      </c>
      <c r="M64">
        <f>IF(COUNTIF($J4:L4,L4)&gt;1,"",IF(L4&lt;&gt;"",$A$5,""))</f>
        <v>4</v>
      </c>
      <c r="N64">
        <f>IF(COUNTIF($J4:M4,M4)&gt;1,"",IF(M4&lt;&gt;"",$A$6,""))</f>
        <v>5</v>
      </c>
      <c r="P64" t="str">
        <f>IF(COUNTIF($J4:P4,P4)&gt;1,"",IF(P4&lt;&gt;"",$A$8,""))</f>
        <v/>
      </c>
      <c r="Q64" t="str">
        <f>IF(COUNTIF($J4:Q4,Q4)&gt;1,"",IF(Q4&lt;&gt;"",$A$9,""))</f>
        <v/>
      </c>
      <c r="R64" t="str">
        <f>IF(COUNTIF($J4:R4,R4)&gt;1,"",IF(R4&lt;&gt;"",$A$10,""))</f>
        <v/>
      </c>
      <c r="S64" s="5" t="str">
        <f>IF(COUNTIF($J4:S4,S4)&gt;1,"",IF(S4&lt;&gt;"",$A$11,""))</f>
        <v/>
      </c>
    </row>
    <row r="65" spans="9:19" x14ac:dyDescent="0.25">
      <c r="I65">
        <v>4</v>
      </c>
      <c r="J65">
        <v>1</v>
      </c>
      <c r="K65">
        <v>2</v>
      </c>
      <c r="L65">
        <f>IF(COUNTIF($J5:K5,K5)&gt;1,"",IF(K5&lt;&gt;"",$A$4,""))</f>
        <v>3</v>
      </c>
      <c r="M65">
        <f>IF(COUNTIF($J5:L5,L5)&gt;1,"",IF(L5&lt;&gt;"",$A$5,""))</f>
        <v>4</v>
      </c>
      <c r="N65">
        <f>IF(COUNTIF($J5:M5,M5)&gt;1,"",IF(M5&lt;&gt;"",$A$6,""))</f>
        <v>5</v>
      </c>
      <c r="P65" t="str">
        <f>IF(COUNTIF($J5:P5,P5)&gt;1,"",IF(P5&lt;&gt;"",$A$8,""))</f>
        <v/>
      </c>
      <c r="Q65" t="str">
        <f>IF(COUNTIF($J5:Q5,Q5)&gt;1,"",IF(Q5&lt;&gt;"",$A$9,""))</f>
        <v/>
      </c>
      <c r="R65" t="str">
        <f>IF(COUNTIF($J5:R5,R5)&gt;1,"",IF(R5&lt;&gt;"",$A$10,""))</f>
        <v/>
      </c>
      <c r="S65" s="5" t="str">
        <f>IF(COUNTIF($J5:S5,S5)&gt;1,"",IF(S5&lt;&gt;"",$A$11,""))</f>
        <v/>
      </c>
    </row>
    <row r="66" spans="9:19" x14ac:dyDescent="0.25">
      <c r="I66">
        <v>5</v>
      </c>
      <c r="J66">
        <v>1</v>
      </c>
      <c r="K66">
        <v>2</v>
      </c>
      <c r="L66">
        <f>IF(COUNTIF($J6:K6,K6)&gt;1,"",IF(K6&lt;&gt;"",$A$4,""))</f>
        <v>3</v>
      </c>
      <c r="M66">
        <f>IF(COUNTIF($J6:L6,L6)&gt;1,"",IF(L6&lt;&gt;"",$A$5,""))</f>
        <v>4</v>
      </c>
      <c r="N66">
        <f>IF(COUNTIF($J6:M6,M6)&gt;1,"",IF(M6&lt;&gt;"",$A$6,""))</f>
        <v>5</v>
      </c>
      <c r="P66" t="str">
        <f>IF(COUNTIF($J6:P6,P6)&gt;1,"",IF(P6&lt;&gt;"",$A$8,""))</f>
        <v/>
      </c>
      <c r="Q66" t="str">
        <f>IF(COUNTIF($J6:Q6,Q6)&gt;1,"",IF(Q6&lt;&gt;"",$A$9,""))</f>
        <v/>
      </c>
      <c r="R66" t="str">
        <f>IF(COUNTIF($J6:R6,R6)&gt;1,"",IF(R6&lt;&gt;"",$A$10,""))</f>
        <v/>
      </c>
      <c r="S66" s="5" t="str">
        <f>IF(COUNTIF($J6:S6,S6)&gt;1,"",IF(S6&lt;&gt;"",$A$11,""))</f>
        <v/>
      </c>
    </row>
    <row r="67" spans="9:19" x14ac:dyDescent="0.25">
      <c r="I67">
        <v>6</v>
      </c>
      <c r="J67">
        <v>1</v>
      </c>
      <c r="K67">
        <v>2</v>
      </c>
      <c r="L67">
        <f>IF(COUNTIF($J7:K7,K7)&gt;1,"",IF(K7&lt;&gt;"",$A$4,""))</f>
        <v>3</v>
      </c>
      <c r="M67">
        <f>IF(COUNTIF($J7:L7,L7)&gt;1,"",IF(L7&lt;&gt;"",$A$5,""))</f>
        <v>4</v>
      </c>
      <c r="N67">
        <f>IF(COUNTIF($J7:M7,M7)&gt;1,"",IF(M7&lt;&gt;"",$A$6,""))</f>
        <v>5</v>
      </c>
      <c r="P67" t="str">
        <f>IF(COUNTIF($J7:P7,P7)&gt;1,"",IF(P7&lt;&gt;"",$A$8,""))</f>
        <v/>
      </c>
      <c r="Q67" t="str">
        <f>IF(COUNTIF($J7:Q7,Q7)&gt;1,"",IF(Q7&lt;&gt;"",$A$9,""))</f>
        <v/>
      </c>
      <c r="R67" t="str">
        <f>IF(COUNTIF($J7:R7,R7)&gt;1,"",IF(R7&lt;&gt;"",$A$10,""))</f>
        <v/>
      </c>
      <c r="S67" s="5" t="str">
        <f>IF(COUNTIF($J7:S7,S7)&gt;1,"",IF(S7&lt;&gt;"",$A$11,""))</f>
        <v/>
      </c>
    </row>
    <row r="68" spans="9:19" x14ac:dyDescent="0.25">
      <c r="I68">
        <v>7</v>
      </c>
      <c r="J68">
        <v>1</v>
      </c>
      <c r="K68">
        <v>2</v>
      </c>
      <c r="L68">
        <f>IF(COUNTIF($J8:K8,K8)&gt;1,"",IF(K8&lt;&gt;"",$A$4,""))</f>
        <v>3</v>
      </c>
      <c r="M68">
        <f>IF(COUNTIF($J8:L8,L8)&gt;1,"",IF(L8&lt;&gt;"",$A$5,""))</f>
        <v>4</v>
      </c>
      <c r="N68">
        <f>IF(COUNTIF($J8:M8,M8)&gt;1,"",IF(M8&lt;&gt;"",$A$6,""))</f>
        <v>5</v>
      </c>
      <c r="P68" t="str">
        <f>IF(COUNTIF($J8:P8,P8)&gt;1,"",IF(P8&lt;&gt;"",$A$8,""))</f>
        <v/>
      </c>
      <c r="Q68" t="str">
        <f>IF(COUNTIF($J8:Q8,Q8)&gt;1,"",IF(Q8&lt;&gt;"",$A$9,""))</f>
        <v/>
      </c>
      <c r="R68" t="str">
        <f>IF(COUNTIF($J8:R8,R8)&gt;1,"",IF(R8&lt;&gt;"",$A$10,""))</f>
        <v/>
      </c>
      <c r="S68" s="5" t="str">
        <f>IF(COUNTIF($J8:S8,S8)&gt;1,"",IF(S8&lt;&gt;"",$A$11,""))</f>
        <v/>
      </c>
    </row>
    <row r="69" spans="9:19" x14ac:dyDescent="0.25">
      <c r="I69">
        <v>8</v>
      </c>
      <c r="J69">
        <f t="shared" ref="J69:J121" si="1">IF(J9&lt;&gt;"",$A$2,"")</f>
        <v>1</v>
      </c>
      <c r="K69" t="str">
        <f>IF(COUNTIF($J9:K9,K9)&gt;1,"",IF(K9&lt;&gt;"",$A$3,""))</f>
        <v/>
      </c>
      <c r="L69" t="str">
        <f>IF(COUNTIF($J9:L9,L9)&gt;1,"",IF(L9&lt;&gt;"",$A$4,""))</f>
        <v/>
      </c>
      <c r="M69" t="str">
        <f>IF(COUNTIF($J9:M9,M9)&gt;1,"",IF(M9&lt;&gt;"",$A$5,""))</f>
        <v/>
      </c>
      <c r="N69" t="str">
        <f>IF(COUNTIF($J9:N9,N9)&gt;1,"",IF(N9&lt;&gt;"",$A$6,""))</f>
        <v/>
      </c>
      <c r="O69" t="str">
        <f>IF(COUNTIF($J9:O9,O9)&gt;1,"",IF(O9&lt;&gt;"",$A$7,""))</f>
        <v/>
      </c>
      <c r="P69" t="str">
        <f>IF(COUNTIF($J9:P9,P9)&gt;1,"",IF(P9&lt;&gt;"",$A$8,""))</f>
        <v/>
      </c>
      <c r="Q69" t="str">
        <f>IF(COUNTIF($J9:Q9,Q9)&gt;1,"",IF(Q9&lt;&gt;"",$A$9,""))</f>
        <v/>
      </c>
      <c r="R69" t="str">
        <f>IF(COUNTIF($J9:R9,R9)&gt;1,"",IF(R9&lt;&gt;"",$A$10,""))</f>
        <v/>
      </c>
      <c r="S69" s="5" t="str">
        <f>IF(COUNTIF($J9:S9,S9)&gt;1,"",IF(S9&lt;&gt;"",$A$11,""))</f>
        <v/>
      </c>
    </row>
    <row r="70" spans="9:19" x14ac:dyDescent="0.25">
      <c r="I70">
        <v>9</v>
      </c>
      <c r="J70" t="str">
        <f t="shared" si="1"/>
        <v/>
      </c>
      <c r="K70" t="str">
        <f>IF(COUNTIF($J10:K10,K10)&gt;1,"",IF(K10&lt;&gt;"",$A$3,""))</f>
        <v/>
      </c>
      <c r="L70" t="str">
        <f>IF(COUNTIF($J10:L10,L10)&gt;1,"",IF(L10&lt;&gt;"",$A$4,""))</f>
        <v/>
      </c>
      <c r="M70" t="str">
        <f>IF(COUNTIF($J10:M10,M10)&gt;1,"",IF(M10&lt;&gt;"",$A$5,""))</f>
        <v/>
      </c>
      <c r="N70" t="str">
        <f>IF(COUNTIF($J10:N10,N10)&gt;1,"",IF(N10&lt;&gt;"",$A$6,""))</f>
        <v/>
      </c>
      <c r="O70" t="str">
        <f>IF(COUNTIF($J10:O10,O10)&gt;1,"",IF(O10&lt;&gt;"",$A$7,""))</f>
        <v/>
      </c>
      <c r="P70" t="str">
        <f>IF(COUNTIF($J10:P10,P10)&gt;1,"",IF(P10&lt;&gt;"",$A$8,""))</f>
        <v/>
      </c>
      <c r="Q70" t="str">
        <f>IF(COUNTIF($J10:Q10,Q10)&gt;1,"",IF(Q10&lt;&gt;"",$A$9,""))</f>
        <v/>
      </c>
      <c r="R70" t="str">
        <f>IF(COUNTIF($J10:R10,R10)&gt;1,"",IF(R10&lt;&gt;"",$A$10,""))</f>
        <v/>
      </c>
      <c r="S70" s="5" t="str">
        <f>IF(COUNTIF($J10:S10,S10)&gt;1,"",IF(S10&lt;&gt;"",$A$11,""))</f>
        <v/>
      </c>
    </row>
    <row r="71" spans="9:19" x14ac:dyDescent="0.25">
      <c r="I71">
        <v>10</v>
      </c>
      <c r="J71" t="str">
        <f t="shared" si="1"/>
        <v/>
      </c>
      <c r="K71" t="str">
        <f>IF(COUNTIF($J11:K11,K11)&gt;1,"",IF(K11&lt;&gt;"",$A$3,""))</f>
        <v/>
      </c>
      <c r="L71" t="str">
        <f>IF(COUNTIF($J11:L11,L11)&gt;1,"",IF(L11&lt;&gt;"",$A$4,""))</f>
        <v/>
      </c>
      <c r="M71" t="str">
        <f>IF(COUNTIF($J11:M11,M11)&gt;1,"",IF(M11&lt;&gt;"",$A$5,""))</f>
        <v/>
      </c>
      <c r="N71" t="str">
        <f>IF(COUNTIF($J11:N11,N11)&gt;1,"",IF(N11&lt;&gt;"",$A$6,""))</f>
        <v/>
      </c>
      <c r="O71" t="str">
        <f>IF(COUNTIF($J11:O11,O11)&gt;1,"",IF(O11&lt;&gt;"",$A$7,""))</f>
        <v/>
      </c>
      <c r="P71" t="str">
        <f>IF(COUNTIF($J11:P11,P11)&gt;1,"",IF(P11&lt;&gt;"",$A$8,""))</f>
        <v/>
      </c>
      <c r="Q71" t="str">
        <f>IF(COUNTIF($J11:Q11,Q11)&gt;1,"",IF(Q11&lt;&gt;"",$A$9,""))</f>
        <v/>
      </c>
      <c r="R71" t="str">
        <f>IF(COUNTIF($J11:R11,R11)&gt;1,"",IF(R11&lt;&gt;"",$A$10,""))</f>
        <v/>
      </c>
      <c r="S71" s="5" t="str">
        <f>IF(COUNTIF($J11:S11,S11)&gt;1,"",IF(S11&lt;&gt;"",$A$11,""))</f>
        <v/>
      </c>
    </row>
    <row r="72" spans="9:19" x14ac:dyDescent="0.25">
      <c r="I72">
        <v>11</v>
      </c>
      <c r="J72" t="str">
        <f t="shared" si="1"/>
        <v/>
      </c>
      <c r="K72" t="str">
        <f>IF(COUNTIF($J12:K12,K12)&gt;1,"",IF(K12&lt;&gt;"",$A$3,""))</f>
        <v/>
      </c>
      <c r="L72" t="str">
        <f>IF(COUNTIF($J12:L12,L12)&gt;1,"",IF(L12&lt;&gt;"",$A$4,""))</f>
        <v/>
      </c>
      <c r="M72" t="str">
        <f>IF(COUNTIF($J12:M12,M12)&gt;1,"",IF(M12&lt;&gt;"",$A$5,""))</f>
        <v/>
      </c>
      <c r="N72" t="str">
        <f>IF(COUNTIF($J12:N12,N12)&gt;1,"",IF(N12&lt;&gt;"",$A$6,""))</f>
        <v/>
      </c>
      <c r="O72" t="str">
        <f>IF(COUNTIF($J12:O12,O12)&gt;1,"",IF(O12&lt;&gt;"",$A$7,""))</f>
        <v/>
      </c>
      <c r="P72" t="str">
        <f>IF(COUNTIF($J12:P12,P12)&gt;1,"",IF(P12&lt;&gt;"",$A$8,""))</f>
        <v/>
      </c>
      <c r="Q72" t="str">
        <f>IF(COUNTIF($J12:Q12,Q12)&gt;1,"",IF(Q12&lt;&gt;"",$A$9,""))</f>
        <v/>
      </c>
      <c r="R72" t="str">
        <f>IF(COUNTIF($J12:R12,R12)&gt;1,"",IF(R12&lt;&gt;"",$A$10,""))</f>
        <v/>
      </c>
      <c r="S72" s="5" t="str">
        <f>IF(COUNTIF($J12:S12,S12)&gt;1,"",IF(S12&lt;&gt;"",$A$11,""))</f>
        <v/>
      </c>
    </row>
    <row r="73" spans="9:19" x14ac:dyDescent="0.25">
      <c r="I73">
        <v>12</v>
      </c>
      <c r="J73" t="str">
        <f t="shared" si="1"/>
        <v/>
      </c>
      <c r="K73" t="str">
        <f>IF(COUNTIF($J13:K13,K13)&gt;1,"",IF(K13&lt;&gt;"",$A$3,""))</f>
        <v/>
      </c>
      <c r="L73" t="str">
        <f>IF(COUNTIF($J13:L13,L13)&gt;1,"",IF(L13&lt;&gt;"",$A$4,""))</f>
        <v/>
      </c>
      <c r="M73" t="str">
        <f>IF(COUNTIF($J13:M13,M13)&gt;1,"",IF(M13&lt;&gt;"",$A$5,""))</f>
        <v/>
      </c>
      <c r="N73" t="str">
        <f>IF(COUNTIF($J13:N13,N13)&gt;1,"",IF(N13&lt;&gt;"",$A$6,""))</f>
        <v/>
      </c>
      <c r="O73" t="str">
        <f>IF(COUNTIF($J13:O13,O13)&gt;1,"",IF(O13&lt;&gt;"",$A$7,""))</f>
        <v/>
      </c>
      <c r="P73" t="str">
        <f>IF(COUNTIF($J13:P13,P13)&gt;1,"",IF(P13&lt;&gt;"",$A$8,""))</f>
        <v/>
      </c>
      <c r="Q73" t="str">
        <f>IF(COUNTIF($J13:Q13,Q13)&gt;1,"",IF(Q13&lt;&gt;"",$A$9,""))</f>
        <v/>
      </c>
      <c r="R73" t="str">
        <f>IF(COUNTIF($J13:R13,R13)&gt;1,"",IF(R13&lt;&gt;"",$A$10,""))</f>
        <v/>
      </c>
      <c r="S73" s="5" t="str">
        <f>IF(COUNTIF($J13:S13,S13)&gt;1,"",IF(S13&lt;&gt;"",$A$11,""))</f>
        <v/>
      </c>
    </row>
    <row r="74" spans="9:19" x14ac:dyDescent="0.25">
      <c r="I74">
        <v>13</v>
      </c>
      <c r="J74" t="str">
        <f t="shared" si="1"/>
        <v/>
      </c>
      <c r="K74" t="str">
        <f>IF(COUNTIF($J14:K14,K14)&gt;1,"",IF(K14&lt;&gt;"",$A$3,""))</f>
        <v/>
      </c>
      <c r="L74" t="str">
        <f>IF(COUNTIF($J14:L14,L14)&gt;1,"",IF(L14&lt;&gt;"",$A$4,""))</f>
        <v/>
      </c>
      <c r="M74" t="str">
        <f>IF(COUNTIF($J14:M14,M14)&gt;1,"",IF(M14&lt;&gt;"",$A$5,""))</f>
        <v/>
      </c>
      <c r="N74" t="str">
        <f>IF(COUNTIF($J14:N14,N14)&gt;1,"",IF(N14&lt;&gt;"",$A$6,""))</f>
        <v/>
      </c>
      <c r="O74" t="str">
        <f>IF(COUNTIF($J14:O14,O14)&gt;1,"",IF(O14&lt;&gt;"",$A$7,""))</f>
        <v/>
      </c>
      <c r="P74" t="str">
        <f>IF(COUNTIF($J14:P14,P14)&gt;1,"",IF(P14&lt;&gt;"",$A$8,""))</f>
        <v/>
      </c>
      <c r="Q74" t="str">
        <f>IF(COUNTIF($J14:Q14,Q14)&gt;1,"",IF(Q14&lt;&gt;"",$A$9,""))</f>
        <v/>
      </c>
      <c r="R74" t="str">
        <f>IF(COUNTIF($J14:R14,R14)&gt;1,"",IF(R14&lt;&gt;"",$A$10,""))</f>
        <v/>
      </c>
      <c r="S74" s="5" t="str">
        <f>IF(COUNTIF($J14:S14,S14)&gt;1,"",IF(S14&lt;&gt;"",$A$11,""))</f>
        <v/>
      </c>
    </row>
    <row r="75" spans="9:19" x14ac:dyDescent="0.25">
      <c r="I75">
        <v>14</v>
      </c>
      <c r="J75" t="str">
        <f t="shared" si="1"/>
        <v/>
      </c>
      <c r="K75" t="str">
        <f>IF(COUNTIF($J15:K15,K15)&gt;1,"",IF(K15&lt;&gt;"",$A$3,""))</f>
        <v/>
      </c>
      <c r="L75" t="str">
        <f>IF(COUNTIF($J15:L15,L15)&gt;1,"",IF(L15&lt;&gt;"",$A$4,""))</f>
        <v/>
      </c>
      <c r="M75" t="str">
        <f>IF(COUNTIF($J15:M15,M15)&gt;1,"",IF(M15&lt;&gt;"",$A$5,""))</f>
        <v/>
      </c>
      <c r="N75" t="str">
        <f>IF(COUNTIF($J15:N15,N15)&gt;1,"",IF(N15&lt;&gt;"",$A$6,""))</f>
        <v/>
      </c>
      <c r="O75" t="str">
        <f>IF(COUNTIF($J15:O15,O15)&gt;1,"",IF(O15&lt;&gt;"",$A$7,""))</f>
        <v/>
      </c>
      <c r="P75" t="str">
        <f>IF(COUNTIF($J15:P15,P15)&gt;1,"",IF(P15&lt;&gt;"",$A$8,""))</f>
        <v/>
      </c>
      <c r="Q75" t="str">
        <f>IF(COUNTIF($J15:Q15,Q15)&gt;1,"",IF(Q15&lt;&gt;"",$A$9,""))</f>
        <v/>
      </c>
      <c r="R75" t="str">
        <f>IF(COUNTIF($J15:R15,R15)&gt;1,"",IF(R15&lt;&gt;"",$A$10,""))</f>
        <v/>
      </c>
      <c r="S75" s="5" t="str">
        <f>IF(COUNTIF($J15:S15,S15)&gt;1,"",IF(S15&lt;&gt;"",$A$11,""))</f>
        <v/>
      </c>
    </row>
    <row r="76" spans="9:19" x14ac:dyDescent="0.25">
      <c r="I76">
        <v>15</v>
      </c>
      <c r="J76" t="str">
        <f t="shared" si="1"/>
        <v/>
      </c>
      <c r="K76" t="str">
        <f>IF(COUNTIF($J16:K16,K16)&gt;1,"",IF(K16&lt;&gt;"",$A$3,""))</f>
        <v/>
      </c>
      <c r="L76" t="str">
        <f>IF(COUNTIF($J16:L16,L16)&gt;1,"",IF(L16&lt;&gt;"",$A$4,""))</f>
        <v/>
      </c>
      <c r="M76" t="str">
        <f>IF(COUNTIF($J16:M16,M16)&gt;1,"",IF(M16&lt;&gt;"",$A$5,""))</f>
        <v/>
      </c>
      <c r="N76" t="str">
        <f>IF(COUNTIF($J16:N16,N16)&gt;1,"",IF(N16&lt;&gt;"",$A$6,""))</f>
        <v/>
      </c>
      <c r="O76" t="str">
        <f>IF(COUNTIF($J16:O16,O16)&gt;1,"",IF(O16&lt;&gt;"",$A$7,""))</f>
        <v/>
      </c>
      <c r="P76" t="str">
        <f>IF(COUNTIF($J16:P16,P16)&gt;1,"",IF(P16&lt;&gt;"",$A$8,""))</f>
        <v/>
      </c>
      <c r="Q76" t="str">
        <f>IF(COUNTIF($J16:Q16,Q16)&gt;1,"",IF(Q16&lt;&gt;"",$A$9,""))</f>
        <v/>
      </c>
      <c r="R76" t="str">
        <f>IF(COUNTIF($J16:R16,R16)&gt;1,"",IF(R16&lt;&gt;"",$A$10,""))</f>
        <v/>
      </c>
      <c r="S76" s="5" t="str">
        <f>IF(COUNTIF($J16:S16,S16)&gt;1,"",IF(S16&lt;&gt;"",$A$11,""))</f>
        <v/>
      </c>
    </row>
    <row r="77" spans="9:19" x14ac:dyDescent="0.25">
      <c r="I77">
        <v>16</v>
      </c>
      <c r="J77" t="str">
        <f t="shared" si="1"/>
        <v/>
      </c>
      <c r="K77" t="str">
        <f>IF(COUNTIF($J17:K17,K17)&gt;1,"",IF(K17&lt;&gt;"",$A$3,""))</f>
        <v/>
      </c>
      <c r="L77" t="str">
        <f>IF(COUNTIF($J17:L17,L17)&gt;1,"",IF(L17&lt;&gt;"",$A$4,""))</f>
        <v/>
      </c>
      <c r="M77" t="str">
        <f>IF(COUNTIF($J17:M17,M17)&gt;1,"",IF(M17&lt;&gt;"",$A$5,""))</f>
        <v/>
      </c>
      <c r="N77" t="str">
        <f>IF(COUNTIF($J17:N17,N17)&gt;1,"",IF(N17&lt;&gt;"",$A$6,""))</f>
        <v/>
      </c>
      <c r="O77" t="str">
        <f>IF(COUNTIF($J17:O17,O17)&gt;1,"",IF(O17&lt;&gt;"",$A$7,""))</f>
        <v/>
      </c>
      <c r="P77" t="str">
        <f>IF(COUNTIF($J17:P17,P17)&gt;1,"",IF(P17&lt;&gt;"",$A$8,""))</f>
        <v/>
      </c>
      <c r="Q77" t="str">
        <f>IF(COUNTIF($J17:Q17,Q17)&gt;1,"",IF(Q17&lt;&gt;"",$A$9,""))</f>
        <v/>
      </c>
      <c r="R77" t="str">
        <f>IF(COUNTIF($J17:R17,R17)&gt;1,"",IF(R17&lt;&gt;"",$A$10,""))</f>
        <v/>
      </c>
      <c r="S77" s="5" t="str">
        <f>IF(COUNTIF($J17:S17,S17)&gt;1,"",IF(S17&lt;&gt;"",$A$11,""))</f>
        <v/>
      </c>
    </row>
    <row r="78" spans="9:19" x14ac:dyDescent="0.25">
      <c r="I78">
        <v>17</v>
      </c>
      <c r="J78" t="str">
        <f t="shared" si="1"/>
        <v/>
      </c>
      <c r="K78" t="str">
        <f>IF(COUNTIF($J18:K18,K18)&gt;1,"",IF(K18&lt;&gt;"",$A$3,""))</f>
        <v/>
      </c>
      <c r="L78" t="str">
        <f>IF(COUNTIF($J18:L18,L18)&gt;1,"",IF(L18&lt;&gt;"",$A$4,""))</f>
        <v/>
      </c>
      <c r="M78" t="str">
        <f>IF(COUNTIF($J18:M18,M18)&gt;1,"",IF(M18&lt;&gt;"",$A$5,""))</f>
        <v/>
      </c>
      <c r="N78" t="str">
        <f>IF(COUNTIF($J18:N18,N18)&gt;1,"",IF(N18&lt;&gt;"",$A$6,""))</f>
        <v/>
      </c>
      <c r="O78" t="str">
        <f>IF(COUNTIF($J18:O18,O18)&gt;1,"",IF(O18&lt;&gt;"",$A$7,""))</f>
        <v/>
      </c>
      <c r="P78" t="str">
        <f>IF(COUNTIF($J18:P18,P18)&gt;1,"",IF(P18&lt;&gt;"",$A$8,""))</f>
        <v/>
      </c>
      <c r="Q78" t="str">
        <f>IF(COUNTIF($J18:Q18,Q18)&gt;1,"",IF(Q18&lt;&gt;"",$A$9,""))</f>
        <v/>
      </c>
      <c r="R78" t="str">
        <f>IF(COUNTIF($J18:R18,R18)&gt;1,"",IF(R18&lt;&gt;"",$A$10,""))</f>
        <v/>
      </c>
      <c r="S78" s="5" t="str">
        <f>IF(COUNTIF($J18:S18,S18)&gt;1,"",IF(S18&lt;&gt;"",$A$11,""))</f>
        <v/>
      </c>
    </row>
    <row r="79" spans="9:19" x14ac:dyDescent="0.25">
      <c r="I79">
        <v>18</v>
      </c>
      <c r="J79" t="str">
        <f t="shared" si="1"/>
        <v/>
      </c>
      <c r="K79" t="str">
        <f>IF(COUNTIF($J19:K19,K19)&gt;1,"",IF(K19&lt;&gt;"",$A$3,""))</f>
        <v/>
      </c>
      <c r="L79" t="str">
        <f>IF(COUNTIF($J19:L19,L19)&gt;1,"",IF(L19&lt;&gt;"",$A$4,""))</f>
        <v/>
      </c>
      <c r="M79" t="str">
        <f>IF(COUNTIF($J19:M19,M19)&gt;1,"",IF(M19&lt;&gt;"",$A$5,""))</f>
        <v/>
      </c>
      <c r="N79" t="str">
        <f>IF(COUNTIF($J19:N19,N19)&gt;1,"",IF(N19&lt;&gt;"",$A$6,""))</f>
        <v/>
      </c>
      <c r="O79" t="str">
        <f>IF(COUNTIF($J19:O19,O19)&gt;1,"",IF(O19&lt;&gt;"",$A$7,""))</f>
        <v/>
      </c>
      <c r="P79" t="str">
        <f>IF(COUNTIF($J19:P19,P19)&gt;1,"",IF(P19&lt;&gt;"",$A$8,""))</f>
        <v/>
      </c>
      <c r="Q79" t="str">
        <f>IF(COUNTIF($J19:Q19,Q19)&gt;1,"",IF(Q19&lt;&gt;"",$A$9,""))</f>
        <v/>
      </c>
      <c r="R79" t="str">
        <f>IF(COUNTIF($J19:R19,R19)&gt;1,"",IF(R19&lt;&gt;"",$A$10,""))</f>
        <v/>
      </c>
      <c r="S79" s="5" t="str">
        <f>IF(COUNTIF($J19:S19,S19)&gt;1,"",IF(S19&lt;&gt;"",$A$11,""))</f>
        <v/>
      </c>
    </row>
    <row r="80" spans="9:19" x14ac:dyDescent="0.25">
      <c r="I80">
        <v>19</v>
      </c>
      <c r="J80" t="str">
        <f t="shared" si="1"/>
        <v/>
      </c>
      <c r="K80" t="str">
        <f>IF(COUNTIF($J20:K20,K20)&gt;1,"",IF(K20&lt;&gt;"",$A$3,""))</f>
        <v/>
      </c>
      <c r="L80" t="str">
        <f>IF(COUNTIF($J20:L20,L20)&gt;1,"",IF(L20&lt;&gt;"",$A$4,""))</f>
        <v/>
      </c>
      <c r="M80" t="str">
        <f>IF(COUNTIF($J20:M20,M20)&gt;1,"",IF(M20&lt;&gt;"",$A$5,""))</f>
        <v/>
      </c>
      <c r="N80" t="str">
        <f>IF(COUNTIF($J20:N20,N20)&gt;1,"",IF(N20&lt;&gt;"",$A$6,""))</f>
        <v/>
      </c>
      <c r="O80" t="str">
        <f>IF(COUNTIF($J20:O20,O20)&gt;1,"",IF(O20&lt;&gt;"",$A$7,""))</f>
        <v/>
      </c>
      <c r="P80" t="str">
        <f>IF(COUNTIF($J20:P20,P20)&gt;1,"",IF(P20&lt;&gt;"",$A$8,""))</f>
        <v/>
      </c>
      <c r="Q80" t="str">
        <f>IF(COUNTIF($J20:Q20,Q20)&gt;1,"",IF(Q20&lt;&gt;"",$A$9,""))</f>
        <v/>
      </c>
      <c r="R80" t="str">
        <f>IF(COUNTIF($J20:R20,R20)&gt;1,"",IF(R20&lt;&gt;"",$A$10,""))</f>
        <v/>
      </c>
      <c r="S80" s="5" t="str">
        <f>IF(COUNTIF($J20:S20,S20)&gt;1,"",IF(S20&lt;&gt;"",$A$11,""))</f>
        <v/>
      </c>
    </row>
    <row r="81" spans="9:19" x14ac:dyDescent="0.25">
      <c r="I81">
        <v>20</v>
      </c>
      <c r="J81" t="str">
        <f t="shared" si="1"/>
        <v/>
      </c>
      <c r="K81" t="str">
        <f>IF(COUNTIF($J21:K21,K21)&gt;1,"",IF(K21&lt;&gt;"",$A$3,""))</f>
        <v/>
      </c>
      <c r="L81" t="str">
        <f>IF(COUNTIF($J21:L21,L21)&gt;1,"",IF(L21&lt;&gt;"",$A$4,""))</f>
        <v/>
      </c>
      <c r="M81" t="str">
        <f>IF(COUNTIF($J21:M21,M21)&gt;1,"",IF(M21&lt;&gt;"",$A$5,""))</f>
        <v/>
      </c>
      <c r="N81" t="str">
        <f>IF(COUNTIF($J21:N21,N21)&gt;1,"",IF(N21&lt;&gt;"",$A$6,""))</f>
        <v/>
      </c>
      <c r="O81" t="str">
        <f>IF(COUNTIF($J21:O21,O21)&gt;1,"",IF(O21&lt;&gt;"",$A$7,""))</f>
        <v/>
      </c>
      <c r="P81" t="str">
        <f>IF(COUNTIF($J21:P21,P21)&gt;1,"",IF(P21&lt;&gt;"",$A$8,""))</f>
        <v/>
      </c>
      <c r="Q81" t="str">
        <f>IF(COUNTIF($J21:Q21,Q21)&gt;1,"",IF(Q21&lt;&gt;"",$A$9,""))</f>
        <v/>
      </c>
      <c r="R81" t="str">
        <f>IF(COUNTIF($J21:R21,R21)&gt;1,"",IF(R21&lt;&gt;"",$A$10,""))</f>
        <v/>
      </c>
      <c r="S81" s="5" t="str">
        <f>IF(COUNTIF($J21:S21,S21)&gt;1,"",IF(S21&lt;&gt;"",$A$11,""))</f>
        <v/>
      </c>
    </row>
    <row r="82" spans="9:19" x14ac:dyDescent="0.25">
      <c r="I82">
        <v>21</v>
      </c>
      <c r="J82" t="str">
        <f t="shared" si="1"/>
        <v/>
      </c>
      <c r="K82" t="str">
        <f>IF(COUNTIF($J22:K22,K22)&gt;1,"",IF(K22&lt;&gt;"",$A$3,""))</f>
        <v/>
      </c>
      <c r="L82" t="str">
        <f>IF(COUNTIF($J22:L22,L22)&gt;1,"",IF(L22&lt;&gt;"",$A$4,""))</f>
        <v/>
      </c>
      <c r="M82" t="str">
        <f>IF(COUNTIF($J22:M22,M22)&gt;1,"",IF(M22&lt;&gt;"",$A$5,""))</f>
        <v/>
      </c>
      <c r="N82" t="str">
        <f>IF(COUNTIF($J22:N22,N22)&gt;1,"",IF(N22&lt;&gt;"",$A$6,""))</f>
        <v/>
      </c>
      <c r="O82" t="str">
        <f>IF(COUNTIF($J22:O22,O22)&gt;1,"",IF(O22&lt;&gt;"",$A$7,""))</f>
        <v/>
      </c>
      <c r="P82" t="str">
        <f>IF(COUNTIF($J22:P22,P22)&gt;1,"",IF(P22&lt;&gt;"",$A$8,""))</f>
        <v/>
      </c>
      <c r="Q82" t="str">
        <f>IF(COUNTIF($J22:Q22,Q22)&gt;1,"",IF(Q22&lt;&gt;"",$A$9,""))</f>
        <v/>
      </c>
      <c r="R82" t="str">
        <f>IF(COUNTIF($J22:R22,R22)&gt;1,"",IF(R22&lt;&gt;"",$A$10,""))</f>
        <v/>
      </c>
      <c r="S82" s="5" t="str">
        <f>IF(COUNTIF($J22:S22,S22)&gt;1,"",IF(S22&lt;&gt;"",$A$11,""))</f>
        <v/>
      </c>
    </row>
    <row r="83" spans="9:19" x14ac:dyDescent="0.25">
      <c r="I83">
        <v>22</v>
      </c>
      <c r="J83" t="str">
        <f t="shared" si="1"/>
        <v/>
      </c>
      <c r="K83" t="str">
        <f>IF(COUNTIF($J23:K23,K23)&gt;1,"",IF(K23&lt;&gt;"",$A$3,""))</f>
        <v/>
      </c>
      <c r="L83" t="str">
        <f>IF(COUNTIF($J23:L23,L23)&gt;1,"",IF(L23&lt;&gt;"",$A$4,""))</f>
        <v/>
      </c>
      <c r="M83" t="str">
        <f>IF(COUNTIF($J23:M23,M23)&gt;1,"",IF(M23&lt;&gt;"",$A$5,""))</f>
        <v/>
      </c>
      <c r="N83" t="str">
        <f>IF(COUNTIF($J23:N23,N23)&gt;1,"",IF(N23&lt;&gt;"",$A$6,""))</f>
        <v/>
      </c>
      <c r="O83" t="str">
        <f>IF(COUNTIF($J23:O23,O23)&gt;1,"",IF(O23&lt;&gt;"",$A$7,""))</f>
        <v/>
      </c>
      <c r="P83" t="str">
        <f>IF(COUNTIF($J23:P23,P23)&gt;1,"",IF(P23&lt;&gt;"",$A$8,""))</f>
        <v/>
      </c>
      <c r="Q83" t="str">
        <f>IF(COUNTIF($J23:Q23,Q23)&gt;1,"",IF(Q23&lt;&gt;"",$A$9,""))</f>
        <v/>
      </c>
      <c r="R83" t="str">
        <f>IF(COUNTIF($J23:R23,R23)&gt;1,"",IF(R23&lt;&gt;"",$A$10,""))</f>
        <v/>
      </c>
      <c r="S83" s="5" t="str">
        <f>IF(COUNTIF($J23:S23,S23)&gt;1,"",IF(S23&lt;&gt;"",$A$11,""))</f>
        <v/>
      </c>
    </row>
    <row r="84" spans="9:19" x14ac:dyDescent="0.25">
      <c r="I84">
        <v>23</v>
      </c>
      <c r="J84" t="str">
        <f t="shared" si="1"/>
        <v/>
      </c>
      <c r="K84" t="str">
        <f>IF(COUNTIF($J24:K24,K24)&gt;1,"",IF(K24&lt;&gt;"",$A$3,""))</f>
        <v/>
      </c>
      <c r="L84" t="str">
        <f>IF(COUNTIF($J24:L24,L24)&gt;1,"",IF(L24&lt;&gt;"",$A$4,""))</f>
        <v/>
      </c>
      <c r="M84" t="str">
        <f>IF(COUNTIF($J24:M24,M24)&gt;1,"",IF(M24&lt;&gt;"",$A$5,""))</f>
        <v/>
      </c>
      <c r="N84" t="str">
        <f>IF(COUNTIF($J24:N24,N24)&gt;1,"",IF(N24&lt;&gt;"",$A$6,""))</f>
        <v/>
      </c>
      <c r="O84" t="str">
        <f>IF(COUNTIF($J24:O24,O24)&gt;1,"",IF(O24&lt;&gt;"",$A$7,""))</f>
        <v/>
      </c>
      <c r="P84" t="str">
        <f>IF(COUNTIF($J24:P24,P24)&gt;1,"",IF(P24&lt;&gt;"",$A$8,""))</f>
        <v/>
      </c>
      <c r="Q84" t="str">
        <f>IF(COUNTIF($J24:Q24,Q24)&gt;1,"",IF(Q24&lt;&gt;"",$A$9,""))</f>
        <v/>
      </c>
      <c r="R84" t="str">
        <f>IF(COUNTIF($J24:R24,R24)&gt;1,"",IF(R24&lt;&gt;"",$A$10,""))</f>
        <v/>
      </c>
      <c r="S84" s="5" t="str">
        <f>IF(COUNTIF($J24:S24,S24)&gt;1,"",IF(S24&lt;&gt;"",$A$11,""))</f>
        <v/>
      </c>
    </row>
    <row r="85" spans="9:19" x14ac:dyDescent="0.25">
      <c r="I85">
        <v>24</v>
      </c>
      <c r="J85" t="str">
        <f t="shared" si="1"/>
        <v/>
      </c>
      <c r="K85" t="str">
        <f>IF(COUNTIF($J25:K25,K25)&gt;1,"",IF(K25&lt;&gt;"",$A$3,""))</f>
        <v/>
      </c>
      <c r="L85" t="str">
        <f>IF(COUNTIF($J25:L25,L25)&gt;1,"",IF(L25&lt;&gt;"",$A$4,""))</f>
        <v/>
      </c>
      <c r="M85" t="str">
        <f>IF(COUNTIF($J25:M25,M25)&gt;1,"",IF(M25&lt;&gt;"",$A$5,""))</f>
        <v/>
      </c>
      <c r="N85" t="str">
        <f>IF(COUNTIF($J25:N25,N25)&gt;1,"",IF(N25&lt;&gt;"",$A$6,""))</f>
        <v/>
      </c>
      <c r="O85" t="str">
        <f>IF(COUNTIF($J25:O25,O25)&gt;1,"",IF(O25&lt;&gt;"",$A$7,""))</f>
        <v/>
      </c>
      <c r="P85" t="str">
        <f>IF(COUNTIF($J25:P25,P25)&gt;1,"",IF(P25&lt;&gt;"",$A$8,""))</f>
        <v/>
      </c>
      <c r="Q85" t="str">
        <f>IF(COUNTIF($J25:Q25,Q25)&gt;1,"",IF(Q25&lt;&gt;"",$A$9,""))</f>
        <v/>
      </c>
      <c r="R85" t="str">
        <f>IF(COUNTIF($J25:R25,R25)&gt;1,"",IF(R25&lt;&gt;"",$A$10,""))</f>
        <v/>
      </c>
      <c r="S85" s="5" t="str">
        <f>IF(COUNTIF($J25:S25,S25)&gt;1,"",IF(S25&lt;&gt;"",$A$11,""))</f>
        <v/>
      </c>
    </row>
    <row r="86" spans="9:19" x14ac:dyDescent="0.25">
      <c r="I86">
        <v>25</v>
      </c>
      <c r="J86" t="str">
        <f t="shared" si="1"/>
        <v/>
      </c>
      <c r="K86" t="str">
        <f>IF(COUNTIF($J26:K26,K26)&gt;1,"",IF(K26&lt;&gt;"",$A$3,""))</f>
        <v/>
      </c>
      <c r="L86" t="str">
        <f>IF(COUNTIF($J26:L26,L26)&gt;1,"",IF(L26&lt;&gt;"",$A$4,""))</f>
        <v/>
      </c>
      <c r="M86" t="str">
        <f>IF(COUNTIF($J26:M26,M26)&gt;1,"",IF(M26&lt;&gt;"",$A$5,""))</f>
        <v/>
      </c>
      <c r="N86" t="str">
        <f>IF(COUNTIF($J26:N26,N26)&gt;1,"",IF(N26&lt;&gt;"",$A$6,""))</f>
        <v/>
      </c>
      <c r="O86" t="str">
        <f>IF(COUNTIF($J26:O26,O26)&gt;1,"",IF(O26&lt;&gt;"",$A$7,""))</f>
        <v/>
      </c>
      <c r="P86" t="str">
        <f>IF(COUNTIF($J26:P26,P26)&gt;1,"",IF(P26&lt;&gt;"",$A$8,""))</f>
        <v/>
      </c>
      <c r="Q86" t="str">
        <f>IF(COUNTIF($J26:Q26,Q26)&gt;1,"",IF(Q26&lt;&gt;"",$A$9,""))</f>
        <v/>
      </c>
      <c r="R86" t="str">
        <f>IF(COUNTIF($J26:R26,R26)&gt;1,"",IF(R26&lt;&gt;"",$A$10,""))</f>
        <v/>
      </c>
      <c r="S86" s="5" t="str">
        <f>IF(COUNTIF($J26:S26,S26)&gt;1,"",IF(S26&lt;&gt;"",$A$11,""))</f>
        <v/>
      </c>
    </row>
    <row r="87" spans="9:19" x14ac:dyDescent="0.25">
      <c r="I87">
        <v>26</v>
      </c>
      <c r="J87" t="str">
        <f t="shared" si="1"/>
        <v/>
      </c>
      <c r="K87" t="str">
        <f>IF(COUNTIF($J27:K27,K27)&gt;1,"",IF(K27&lt;&gt;"",$A$3,""))</f>
        <v/>
      </c>
      <c r="L87" t="str">
        <f>IF(COUNTIF($J27:L27,L27)&gt;1,"",IF(L27&lt;&gt;"",$A$4,""))</f>
        <v/>
      </c>
      <c r="M87" t="str">
        <f>IF(COUNTIF($J27:M27,M27)&gt;1,"",IF(M27&lt;&gt;"",$A$5,""))</f>
        <v/>
      </c>
      <c r="N87" t="str">
        <f>IF(COUNTIF($J27:N27,N27)&gt;1,"",IF(N27&lt;&gt;"",$A$6,""))</f>
        <v/>
      </c>
      <c r="O87" t="str">
        <f>IF(COUNTIF($J27:O27,O27)&gt;1,"",IF(O27&lt;&gt;"",$A$7,""))</f>
        <v/>
      </c>
      <c r="P87" t="str">
        <f>IF(COUNTIF($J27:P27,P27)&gt;1,"",IF(P27&lt;&gt;"",$A$8,""))</f>
        <v/>
      </c>
      <c r="Q87" t="str">
        <f>IF(COUNTIF($J27:Q27,Q27)&gt;1,"",IF(Q27&lt;&gt;"",$A$9,""))</f>
        <v/>
      </c>
      <c r="R87" t="str">
        <f>IF(COUNTIF($J27:R27,R27)&gt;1,"",IF(R27&lt;&gt;"",$A$10,""))</f>
        <v/>
      </c>
      <c r="S87" s="5" t="str">
        <f>IF(COUNTIF($J27:S27,S27)&gt;1,"",IF(S27&lt;&gt;"",$A$11,""))</f>
        <v/>
      </c>
    </row>
    <row r="88" spans="9:19" x14ac:dyDescent="0.25">
      <c r="I88">
        <v>27</v>
      </c>
      <c r="J88" t="str">
        <f t="shared" si="1"/>
        <v/>
      </c>
      <c r="K88" t="str">
        <f>IF(COUNTIF($J28:K28,K28)&gt;1,"",IF(K28&lt;&gt;"",$A$3,""))</f>
        <v/>
      </c>
      <c r="L88" t="str">
        <f>IF(COUNTIF($J28:L28,L28)&gt;1,"",IF(L28&lt;&gt;"",$A$4,""))</f>
        <v/>
      </c>
      <c r="M88" t="str">
        <f>IF(COUNTIF($J28:M28,M28)&gt;1,"",IF(M28&lt;&gt;"",$A$5,""))</f>
        <v/>
      </c>
      <c r="N88" t="str">
        <f>IF(COUNTIF($J28:N28,N28)&gt;1,"",IF(N28&lt;&gt;"",$A$6,""))</f>
        <v/>
      </c>
      <c r="O88" t="str">
        <f>IF(COUNTIF($J28:O28,O28)&gt;1,"",IF(O28&lt;&gt;"",$A$7,""))</f>
        <v/>
      </c>
      <c r="P88" t="str">
        <f>IF(COUNTIF($J28:P28,P28)&gt;1,"",IF(P28&lt;&gt;"",$A$8,""))</f>
        <v/>
      </c>
      <c r="Q88" t="str">
        <f>IF(COUNTIF($J28:Q28,Q28)&gt;1,"",IF(Q28&lt;&gt;"",$A$9,""))</f>
        <v/>
      </c>
      <c r="R88" t="str">
        <f>IF(COUNTIF($J28:R28,R28)&gt;1,"",IF(R28&lt;&gt;"",$A$10,""))</f>
        <v/>
      </c>
      <c r="S88" s="5" t="str">
        <f>IF(COUNTIF($J28:S28,S28)&gt;1,"",IF(S28&lt;&gt;"",$A$11,""))</f>
        <v/>
      </c>
    </row>
    <row r="89" spans="9:19" x14ac:dyDescent="0.25">
      <c r="I89">
        <v>28</v>
      </c>
      <c r="J89" t="str">
        <f t="shared" si="1"/>
        <v/>
      </c>
      <c r="K89" t="str">
        <f>IF(COUNTIF($J29:K29,K29)&gt;1,"",IF(K29&lt;&gt;"",$A$3,""))</f>
        <v/>
      </c>
      <c r="L89" t="str">
        <f>IF(COUNTIF($J29:L29,L29)&gt;1,"",IF(L29&lt;&gt;"",$A$4,""))</f>
        <v/>
      </c>
      <c r="M89" t="str">
        <f>IF(COUNTIF($J29:M29,M29)&gt;1,"",IF(M29&lt;&gt;"",$A$5,""))</f>
        <v/>
      </c>
      <c r="N89" t="str">
        <f>IF(COUNTIF($J29:N29,N29)&gt;1,"",IF(N29&lt;&gt;"",$A$6,""))</f>
        <v/>
      </c>
      <c r="O89" t="str">
        <f>IF(COUNTIF($J29:O29,O29)&gt;1,"",IF(O29&lt;&gt;"",$A$7,""))</f>
        <v/>
      </c>
      <c r="P89" t="str">
        <f>IF(COUNTIF($J29:P29,P29)&gt;1,"",IF(P29&lt;&gt;"",$A$8,""))</f>
        <v/>
      </c>
      <c r="Q89" t="str">
        <f>IF(COUNTIF($J29:Q29,Q29)&gt;1,"",IF(Q29&lt;&gt;"",$A$9,""))</f>
        <v/>
      </c>
      <c r="R89" t="str">
        <f>IF(COUNTIF($J29:R29,R29)&gt;1,"",IF(R29&lt;&gt;"",$A$10,""))</f>
        <v/>
      </c>
      <c r="S89" s="5" t="str">
        <f>IF(COUNTIF($J29:S29,S29)&gt;1,"",IF(S29&lt;&gt;"",$A$11,""))</f>
        <v/>
      </c>
    </row>
    <row r="90" spans="9:19" x14ac:dyDescent="0.25">
      <c r="I90">
        <v>29</v>
      </c>
      <c r="J90" t="str">
        <f t="shared" si="1"/>
        <v/>
      </c>
      <c r="K90" t="str">
        <f>IF(COUNTIF($J30:K30,K30)&gt;1,"",IF(K30&lt;&gt;"",$A$3,""))</f>
        <v/>
      </c>
      <c r="L90" t="str">
        <f>IF(COUNTIF($J30:L30,L30)&gt;1,"",IF(L30&lt;&gt;"",$A$4,""))</f>
        <v/>
      </c>
      <c r="M90" t="str">
        <f>IF(COUNTIF($J30:M30,M30)&gt;1,"",IF(M30&lt;&gt;"",$A$5,""))</f>
        <v/>
      </c>
      <c r="N90" t="str">
        <f>IF(COUNTIF($J30:N30,N30)&gt;1,"",IF(N30&lt;&gt;"",$A$6,""))</f>
        <v/>
      </c>
      <c r="O90" t="str">
        <f>IF(COUNTIF($J30:O30,O30)&gt;1,"",IF(O30&lt;&gt;"",$A$7,""))</f>
        <v/>
      </c>
      <c r="P90" t="str">
        <f>IF(COUNTIF($J30:P30,P30)&gt;1,"",IF(P30&lt;&gt;"",$A$8,""))</f>
        <v/>
      </c>
      <c r="Q90" t="str">
        <f>IF(COUNTIF($J30:Q30,Q30)&gt;1,"",IF(Q30&lt;&gt;"",$A$9,""))</f>
        <v/>
      </c>
      <c r="R90" t="str">
        <f>IF(COUNTIF($J30:R30,R30)&gt;1,"",IF(R30&lt;&gt;"",$A$10,""))</f>
        <v/>
      </c>
      <c r="S90" s="5" t="str">
        <f>IF(COUNTIF($J30:S30,S30)&gt;1,"",IF(S30&lt;&gt;"",$A$11,""))</f>
        <v/>
      </c>
    </row>
    <row r="91" spans="9:19" x14ac:dyDescent="0.25">
      <c r="I91">
        <v>30</v>
      </c>
      <c r="J91" t="str">
        <f t="shared" si="1"/>
        <v/>
      </c>
      <c r="K91" t="str">
        <f>IF(COUNTIF($J31:K31,K31)&gt;1,"",IF(K31&lt;&gt;"",$A$3,""))</f>
        <v/>
      </c>
      <c r="L91" t="str">
        <f>IF(COUNTIF($J31:L31,L31)&gt;1,"",IF(L31&lt;&gt;"",$A$4,""))</f>
        <v/>
      </c>
      <c r="M91" t="str">
        <f>IF(COUNTIF($J31:M31,M31)&gt;1,"",IF(M31&lt;&gt;"",$A$5,""))</f>
        <v/>
      </c>
      <c r="N91" t="str">
        <f>IF(COUNTIF($J31:N31,N31)&gt;1,"",IF(N31&lt;&gt;"",$A$6,""))</f>
        <v/>
      </c>
      <c r="O91" t="str">
        <f>IF(COUNTIF($J31:O31,O31)&gt;1,"",IF(O31&lt;&gt;"",$A$7,""))</f>
        <v/>
      </c>
      <c r="P91" t="str">
        <f>IF(COUNTIF($J31:P31,P31)&gt;1,"",IF(P31&lt;&gt;"",$A$8,""))</f>
        <v/>
      </c>
      <c r="Q91" t="str">
        <f>IF(COUNTIF($J31:Q31,Q31)&gt;1,"",IF(Q31&lt;&gt;"",$A$9,""))</f>
        <v/>
      </c>
      <c r="R91" t="str">
        <f>IF(COUNTIF($J31:R31,R31)&gt;1,"",IF(R31&lt;&gt;"",$A$10,""))</f>
        <v/>
      </c>
      <c r="S91" s="5" t="str">
        <f>IF(COUNTIF($J31:S31,S31)&gt;1,"",IF(S31&lt;&gt;"",$A$11,""))</f>
        <v/>
      </c>
    </row>
    <row r="92" spans="9:19" x14ac:dyDescent="0.25">
      <c r="I92">
        <v>31</v>
      </c>
      <c r="J92" t="str">
        <f t="shared" si="1"/>
        <v/>
      </c>
      <c r="K92" t="str">
        <f>IF(COUNTIF($J32:K32,K32)&gt;1,"",IF(K32&lt;&gt;"",$A$3,""))</f>
        <v/>
      </c>
      <c r="L92" t="str">
        <f>IF(COUNTIF($J32:L32,L32)&gt;1,"",IF(L32&lt;&gt;"",$A$4,""))</f>
        <v/>
      </c>
      <c r="M92" t="str">
        <f>IF(COUNTIF($J32:M32,M32)&gt;1,"",IF(M32&lt;&gt;"",$A$5,""))</f>
        <v/>
      </c>
      <c r="N92" t="str">
        <f>IF(COUNTIF($J32:N32,N32)&gt;1,"",IF(N32&lt;&gt;"",$A$6,""))</f>
        <v/>
      </c>
      <c r="O92" t="str">
        <f>IF(COUNTIF($J32:O32,O32)&gt;1,"",IF(O32&lt;&gt;"",$A$7,""))</f>
        <v/>
      </c>
      <c r="P92" t="str">
        <f>IF(COUNTIF($J32:P32,P32)&gt;1,"",IF(P32&lt;&gt;"",$A$8,""))</f>
        <v/>
      </c>
      <c r="Q92" t="str">
        <f>IF(COUNTIF($J32:Q32,Q32)&gt;1,"",IF(Q32&lt;&gt;"",$A$9,""))</f>
        <v/>
      </c>
      <c r="R92" t="str">
        <f>IF(COUNTIF($J32:R32,R32)&gt;1,"",IF(R32&lt;&gt;"",$A$10,""))</f>
        <v/>
      </c>
      <c r="S92" s="5" t="str">
        <f>IF(COUNTIF($J32:S32,S32)&gt;1,"",IF(S32&lt;&gt;"",$A$11,""))</f>
        <v/>
      </c>
    </row>
    <row r="93" spans="9:19" x14ac:dyDescent="0.25">
      <c r="I93">
        <v>32</v>
      </c>
      <c r="J93" t="str">
        <f t="shared" si="1"/>
        <v/>
      </c>
      <c r="K93" t="str">
        <f>IF(COUNTIF($J33:K33,K33)&gt;1,"",IF(K33&lt;&gt;"",$A$3,""))</f>
        <v/>
      </c>
      <c r="L93" t="str">
        <f>IF(COUNTIF($J33:L33,L33)&gt;1,"",IF(L33&lt;&gt;"",$A$4,""))</f>
        <v/>
      </c>
      <c r="M93" t="str">
        <f>IF(COUNTIF($J33:M33,M33)&gt;1,"",IF(M33&lt;&gt;"",$A$5,""))</f>
        <v/>
      </c>
      <c r="N93" t="str">
        <f>IF(COUNTIF($J33:N33,N33)&gt;1,"",IF(N33&lt;&gt;"",$A$6,""))</f>
        <v/>
      </c>
      <c r="O93" t="str">
        <f>IF(COUNTIF($J33:O33,O33)&gt;1,"",IF(O33&lt;&gt;"",$A$7,""))</f>
        <v/>
      </c>
      <c r="P93" t="str">
        <f>IF(COUNTIF($J33:P33,P33)&gt;1,"",IF(P33&lt;&gt;"",$A$8,""))</f>
        <v/>
      </c>
      <c r="Q93" t="str">
        <f>IF(COUNTIF($J33:Q33,Q33)&gt;1,"",IF(Q33&lt;&gt;"",$A$9,""))</f>
        <v/>
      </c>
      <c r="R93" t="str">
        <f>IF(COUNTIF($J33:R33,R33)&gt;1,"",IF(R33&lt;&gt;"",$A$10,""))</f>
        <v/>
      </c>
      <c r="S93" s="5" t="str">
        <f>IF(COUNTIF($J33:S33,S33)&gt;1,"",IF(S33&lt;&gt;"",$A$11,""))</f>
        <v/>
      </c>
    </row>
    <row r="94" spans="9:19" x14ac:dyDescent="0.25">
      <c r="I94">
        <v>33</v>
      </c>
      <c r="J94" t="str">
        <f t="shared" si="1"/>
        <v/>
      </c>
      <c r="K94" t="str">
        <f>IF(COUNTIF($J34:K34,K34)&gt;1,"",IF(K34&lt;&gt;"",$A$3,""))</f>
        <v/>
      </c>
      <c r="L94" t="str">
        <f>IF(COUNTIF($J34:L34,L34)&gt;1,"",IF(L34&lt;&gt;"",$A$4,""))</f>
        <v/>
      </c>
      <c r="M94" t="str">
        <f>IF(COUNTIF($J34:M34,M34)&gt;1,"",IF(M34&lt;&gt;"",$A$5,""))</f>
        <v/>
      </c>
      <c r="N94" t="str">
        <f>IF(COUNTIF($J34:N34,N34)&gt;1,"",IF(N34&lt;&gt;"",$A$6,""))</f>
        <v/>
      </c>
      <c r="O94" t="str">
        <f>IF(COUNTIF($J34:O34,O34)&gt;1,"",IF(O34&lt;&gt;"",$A$7,""))</f>
        <v/>
      </c>
      <c r="P94" t="str">
        <f>IF(COUNTIF($J34:P34,P34)&gt;1,"",IF(P34&lt;&gt;"",$A$8,""))</f>
        <v/>
      </c>
      <c r="Q94" t="str">
        <f>IF(COUNTIF($J34:Q34,Q34)&gt;1,"",IF(Q34&lt;&gt;"",$A$9,""))</f>
        <v/>
      </c>
      <c r="R94" t="str">
        <f>IF(COUNTIF($J34:R34,R34)&gt;1,"",IF(R34&lt;&gt;"",$A$10,""))</f>
        <v/>
      </c>
      <c r="S94" s="5" t="str">
        <f>IF(COUNTIF($J34:S34,S34)&gt;1,"",IF(S34&lt;&gt;"",$A$11,""))</f>
        <v/>
      </c>
    </row>
    <row r="95" spans="9:19" x14ac:dyDescent="0.25">
      <c r="I95">
        <v>34</v>
      </c>
      <c r="J95" t="str">
        <f t="shared" si="1"/>
        <v/>
      </c>
      <c r="K95" t="str">
        <f>IF(COUNTIF($J35:K35,K35)&gt;1,"",IF(K35&lt;&gt;"",$A$3,""))</f>
        <v/>
      </c>
      <c r="L95" t="str">
        <f>IF(COUNTIF($J35:L35,L35)&gt;1,"",IF(L35&lt;&gt;"",$A$4,""))</f>
        <v/>
      </c>
      <c r="M95" t="str">
        <f>IF(COUNTIF($J35:M35,M35)&gt;1,"",IF(M35&lt;&gt;"",$A$5,""))</f>
        <v/>
      </c>
      <c r="N95" t="str">
        <f>IF(COUNTIF($J35:N35,N35)&gt;1,"",IF(N35&lt;&gt;"",$A$6,""))</f>
        <v/>
      </c>
      <c r="O95" t="str">
        <f>IF(COUNTIF($J35:O35,O35)&gt;1,"",IF(O35&lt;&gt;"",$A$7,""))</f>
        <v/>
      </c>
      <c r="P95" t="str">
        <f>IF(COUNTIF($J35:P35,P35)&gt;1,"",IF(P35&lt;&gt;"",$A$8,""))</f>
        <v/>
      </c>
      <c r="Q95" t="str">
        <f>IF(COUNTIF($J35:Q35,Q35)&gt;1,"",IF(Q35&lt;&gt;"",$A$9,""))</f>
        <v/>
      </c>
      <c r="R95" t="str">
        <f>IF(COUNTIF($J35:R35,R35)&gt;1,"",IF(R35&lt;&gt;"",$A$10,""))</f>
        <v/>
      </c>
      <c r="S95" s="5" t="str">
        <f>IF(COUNTIF($J35:S35,S35)&gt;1,"",IF(S35&lt;&gt;"",$A$11,""))</f>
        <v/>
      </c>
    </row>
    <row r="96" spans="9:19" x14ac:dyDescent="0.25">
      <c r="I96">
        <v>35</v>
      </c>
      <c r="J96" t="str">
        <f t="shared" si="1"/>
        <v/>
      </c>
      <c r="K96" t="str">
        <f>IF(COUNTIF($J36:K36,K36)&gt;1,"",IF(K36&lt;&gt;"",$A$3,""))</f>
        <v/>
      </c>
      <c r="L96" t="str">
        <f>IF(COUNTIF($J36:L36,L36)&gt;1,"",IF(L36&lt;&gt;"",$A$4,""))</f>
        <v/>
      </c>
      <c r="M96" t="str">
        <f>IF(COUNTIF($J36:M36,M36)&gt;1,"",IF(M36&lt;&gt;"",$A$5,""))</f>
        <v/>
      </c>
      <c r="N96" t="str">
        <f>IF(COUNTIF($J36:N36,N36)&gt;1,"",IF(N36&lt;&gt;"",$A$6,""))</f>
        <v/>
      </c>
      <c r="O96" t="str">
        <f>IF(COUNTIF($J36:O36,O36)&gt;1,"",IF(O36&lt;&gt;"",$A$7,""))</f>
        <v/>
      </c>
      <c r="P96" t="str">
        <f>IF(COUNTIF($J36:P36,P36)&gt;1,"",IF(P36&lt;&gt;"",$A$8,""))</f>
        <v/>
      </c>
      <c r="Q96" t="str">
        <f>IF(COUNTIF($J36:Q36,Q36)&gt;1,"",IF(Q36&lt;&gt;"",$A$9,""))</f>
        <v/>
      </c>
      <c r="R96" t="str">
        <f>IF(COUNTIF($J36:R36,R36)&gt;1,"",IF(R36&lt;&gt;"",$A$10,""))</f>
        <v/>
      </c>
      <c r="S96" s="5" t="str">
        <f>IF(COUNTIF($J36:S36,S36)&gt;1,"",IF(S36&lt;&gt;"",$A$11,""))</f>
        <v/>
      </c>
    </row>
    <row r="97" spans="9:19" x14ac:dyDescent="0.25">
      <c r="I97">
        <v>36</v>
      </c>
      <c r="J97" t="str">
        <f t="shared" si="1"/>
        <v/>
      </c>
      <c r="K97" t="str">
        <f>IF(COUNTIF($J37:K37,K37)&gt;1,"",IF(K37&lt;&gt;"",$A$3,""))</f>
        <v/>
      </c>
      <c r="L97" t="str">
        <f>IF(COUNTIF($J37:L37,L37)&gt;1,"",IF(L37&lt;&gt;"",$A$4,""))</f>
        <v/>
      </c>
      <c r="M97" t="str">
        <f>IF(COUNTIF($J37:M37,M37)&gt;1,"",IF(M37&lt;&gt;"",$A$5,""))</f>
        <v/>
      </c>
      <c r="N97" t="str">
        <f>IF(COUNTIF($J37:N37,N37)&gt;1,"",IF(N37&lt;&gt;"",$A$6,""))</f>
        <v/>
      </c>
      <c r="O97" t="str">
        <f>IF(COUNTIF($J37:O37,O37)&gt;1,"",IF(O37&lt;&gt;"",$A$7,""))</f>
        <v/>
      </c>
      <c r="P97" t="str">
        <f>IF(COUNTIF($J37:P37,P37)&gt;1,"",IF(P37&lt;&gt;"",$A$8,""))</f>
        <v/>
      </c>
      <c r="Q97" t="str">
        <f>IF(COUNTIF($J37:Q37,Q37)&gt;1,"",IF(Q37&lt;&gt;"",$A$9,""))</f>
        <v/>
      </c>
      <c r="R97" t="str">
        <f>IF(COUNTIF($J37:R37,R37)&gt;1,"",IF(R37&lt;&gt;"",$A$10,""))</f>
        <v/>
      </c>
      <c r="S97" s="5" t="str">
        <f>IF(COUNTIF($J37:S37,S37)&gt;1,"",IF(S37&lt;&gt;"",$A$11,""))</f>
        <v/>
      </c>
    </row>
    <row r="98" spans="9:19" x14ac:dyDescent="0.25">
      <c r="I98">
        <v>37</v>
      </c>
      <c r="J98" t="str">
        <f t="shared" si="1"/>
        <v/>
      </c>
      <c r="K98" t="str">
        <f>IF(COUNTIF($J38:K38,K38)&gt;1,"",IF(K38&lt;&gt;"",$A$3,""))</f>
        <v/>
      </c>
      <c r="L98" t="str">
        <f>IF(COUNTIF($J38:L38,L38)&gt;1,"",IF(L38&lt;&gt;"",$A$4,""))</f>
        <v/>
      </c>
      <c r="M98" t="str">
        <f>IF(COUNTIF($J38:M38,M38)&gt;1,"",IF(M38&lt;&gt;"",$A$5,""))</f>
        <v/>
      </c>
      <c r="N98" t="str">
        <f>IF(COUNTIF($J38:N38,N38)&gt;1,"",IF(N38&lt;&gt;"",$A$6,""))</f>
        <v/>
      </c>
      <c r="O98" t="str">
        <f>IF(COUNTIF($J38:O38,O38)&gt;1,"",IF(O38&lt;&gt;"",$A$7,""))</f>
        <v/>
      </c>
      <c r="P98" t="str">
        <f>IF(COUNTIF($J38:P38,P38)&gt;1,"",IF(P38&lt;&gt;"",$A$8,""))</f>
        <v/>
      </c>
      <c r="Q98" t="str">
        <f>IF(COUNTIF($J38:Q38,Q38)&gt;1,"",IF(Q38&lt;&gt;"",$A$9,""))</f>
        <v/>
      </c>
      <c r="R98" t="str">
        <f>IF(COUNTIF($J38:R38,R38)&gt;1,"",IF(R38&lt;&gt;"",$A$10,""))</f>
        <v/>
      </c>
      <c r="S98" s="5" t="str">
        <f>IF(COUNTIF($J38:S38,S38)&gt;1,"",IF(S38&lt;&gt;"",$A$11,""))</f>
        <v/>
      </c>
    </row>
    <row r="99" spans="9:19" x14ac:dyDescent="0.25">
      <c r="I99">
        <v>38</v>
      </c>
      <c r="J99" t="str">
        <f t="shared" si="1"/>
        <v/>
      </c>
      <c r="K99" t="str">
        <f>IF(COUNTIF($J39:K39,K39)&gt;1,"",IF(K39&lt;&gt;"",$A$3,""))</f>
        <v/>
      </c>
      <c r="L99" t="str">
        <f>IF(COUNTIF($J39:L39,L39)&gt;1,"",IF(L39&lt;&gt;"",$A$4,""))</f>
        <v/>
      </c>
      <c r="M99" t="str">
        <f>IF(COUNTIF($J39:M39,M39)&gt;1,"",IF(M39&lt;&gt;"",$A$5,""))</f>
        <v/>
      </c>
      <c r="N99" t="str">
        <f>IF(COUNTIF($J39:N39,N39)&gt;1,"",IF(N39&lt;&gt;"",$A$6,""))</f>
        <v/>
      </c>
      <c r="O99" t="str">
        <f>IF(COUNTIF($J39:O39,O39)&gt;1,"",IF(O39&lt;&gt;"",$A$7,""))</f>
        <v/>
      </c>
      <c r="P99" t="str">
        <f>IF(COUNTIF($J39:P39,P39)&gt;1,"",IF(P39&lt;&gt;"",$A$8,""))</f>
        <v/>
      </c>
      <c r="Q99" t="str">
        <f>IF(COUNTIF($J39:Q39,Q39)&gt;1,"",IF(Q39&lt;&gt;"",$A$9,""))</f>
        <v/>
      </c>
      <c r="R99" t="str">
        <f>IF(COUNTIF($J39:R39,R39)&gt;1,"",IF(R39&lt;&gt;"",$A$10,""))</f>
        <v/>
      </c>
      <c r="S99" s="5" t="str">
        <f>IF(COUNTIF($J39:S39,S39)&gt;1,"",IF(S39&lt;&gt;"",$A$11,""))</f>
        <v/>
      </c>
    </row>
    <row r="100" spans="9:19" x14ac:dyDescent="0.25">
      <c r="I100">
        <v>39</v>
      </c>
      <c r="J100" t="str">
        <f t="shared" si="1"/>
        <v/>
      </c>
      <c r="K100" t="str">
        <f>IF(COUNTIF($J40:K40,K40)&gt;1,"",IF(K40&lt;&gt;"",$A$3,""))</f>
        <v/>
      </c>
      <c r="L100" t="str">
        <f>IF(COUNTIF($J40:L40,L40)&gt;1,"",IF(L40&lt;&gt;"",$A$4,""))</f>
        <v/>
      </c>
      <c r="M100" t="str">
        <f>IF(COUNTIF($J40:M40,M40)&gt;1,"",IF(M40&lt;&gt;"",$A$5,""))</f>
        <v/>
      </c>
      <c r="N100" t="str">
        <f>IF(COUNTIF($J40:N40,N40)&gt;1,"",IF(N40&lt;&gt;"",$A$6,""))</f>
        <v/>
      </c>
      <c r="O100" t="str">
        <f>IF(COUNTIF($J40:O40,O40)&gt;1,"",IF(O40&lt;&gt;"",$A$7,""))</f>
        <v/>
      </c>
      <c r="P100" t="str">
        <f>IF(COUNTIF($J40:P40,P40)&gt;1,"",IF(P40&lt;&gt;"",$A$8,""))</f>
        <v/>
      </c>
      <c r="Q100" t="str">
        <f>IF(COUNTIF($J40:Q40,Q40)&gt;1,"",IF(Q40&lt;&gt;"",$A$9,""))</f>
        <v/>
      </c>
      <c r="R100" t="str">
        <f>IF(COUNTIF($J40:R40,R40)&gt;1,"",IF(R40&lt;&gt;"",$A$10,""))</f>
        <v/>
      </c>
      <c r="S100" s="5" t="str">
        <f>IF(COUNTIF($J40:S40,S40)&gt;1,"",IF(S40&lt;&gt;"",$A$11,""))</f>
        <v/>
      </c>
    </row>
    <row r="101" spans="9:19" x14ac:dyDescent="0.25">
      <c r="I101">
        <v>40</v>
      </c>
      <c r="J101" t="str">
        <f t="shared" si="1"/>
        <v/>
      </c>
      <c r="K101" t="str">
        <f>IF(COUNTIF($J41:K41,K41)&gt;1,"",IF(K41&lt;&gt;"",$A$3,""))</f>
        <v/>
      </c>
      <c r="L101" t="str">
        <f>IF(COUNTIF($J41:L41,L41)&gt;1,"",IF(L41&lt;&gt;"",$A$4,""))</f>
        <v/>
      </c>
      <c r="M101" t="str">
        <f>IF(COUNTIF($J41:M41,M41)&gt;1,"",IF(M41&lt;&gt;"",$A$5,""))</f>
        <v/>
      </c>
      <c r="N101" t="str">
        <f>IF(COUNTIF($J41:N41,N41)&gt;1,"",IF(N41&lt;&gt;"",$A$6,""))</f>
        <v/>
      </c>
      <c r="O101" t="str">
        <f>IF(COUNTIF($J41:O41,O41)&gt;1,"",IF(O41&lt;&gt;"",$A$7,""))</f>
        <v/>
      </c>
      <c r="P101" t="str">
        <f>IF(COUNTIF($J41:P41,P41)&gt;1,"",IF(P41&lt;&gt;"",$A$8,""))</f>
        <v/>
      </c>
      <c r="Q101" t="str">
        <f>IF(COUNTIF($J41:Q41,Q41)&gt;1,"",IF(Q41&lt;&gt;"",$A$9,""))</f>
        <v/>
      </c>
      <c r="R101" t="str">
        <f>IF(COUNTIF($J41:R41,R41)&gt;1,"",IF(R41&lt;&gt;"",$A$10,""))</f>
        <v/>
      </c>
      <c r="S101" s="5" t="str">
        <f>IF(COUNTIF($J41:S41,S41)&gt;1,"",IF(S41&lt;&gt;"",$A$11,""))</f>
        <v/>
      </c>
    </row>
    <row r="102" spans="9:19" x14ac:dyDescent="0.25">
      <c r="I102">
        <v>41</v>
      </c>
      <c r="J102" t="str">
        <f t="shared" si="1"/>
        <v/>
      </c>
      <c r="K102" t="str">
        <f>IF(COUNTIF($J42:K42,K42)&gt;1,"",IF(K42&lt;&gt;"",$A$3,""))</f>
        <v/>
      </c>
      <c r="L102" t="str">
        <f>IF(COUNTIF($J42:L42,L42)&gt;1,"",IF(L42&lt;&gt;"",$A$4,""))</f>
        <v/>
      </c>
      <c r="M102" t="str">
        <f>IF(COUNTIF($J42:M42,M42)&gt;1,"",IF(M42&lt;&gt;"",$A$5,""))</f>
        <v/>
      </c>
      <c r="N102" t="str">
        <f>IF(COUNTIF($J42:N42,N42)&gt;1,"",IF(N42&lt;&gt;"",$A$6,""))</f>
        <v/>
      </c>
      <c r="O102" t="str">
        <f>IF(COUNTIF($J42:O42,O42)&gt;1,"",IF(O42&lt;&gt;"",$A$7,""))</f>
        <v/>
      </c>
      <c r="P102" t="str">
        <f>IF(COUNTIF($J42:P42,P42)&gt;1,"",IF(P42&lt;&gt;"",$A$8,""))</f>
        <v/>
      </c>
      <c r="Q102" t="str">
        <f>IF(COUNTIF($J42:Q42,Q42)&gt;1,"",IF(Q42&lt;&gt;"",$A$9,""))</f>
        <v/>
      </c>
      <c r="R102" t="str">
        <f>IF(COUNTIF($J42:R42,R42)&gt;1,"",IF(R42&lt;&gt;"",$A$10,""))</f>
        <v/>
      </c>
      <c r="S102" s="5" t="str">
        <f>IF(COUNTIF($J42:S42,S42)&gt;1,"",IF(S42&lt;&gt;"",$A$11,""))</f>
        <v/>
      </c>
    </row>
    <row r="103" spans="9:19" x14ac:dyDescent="0.25">
      <c r="I103">
        <v>42</v>
      </c>
      <c r="J103" t="str">
        <f t="shared" si="1"/>
        <v/>
      </c>
      <c r="K103" t="str">
        <f>IF(COUNTIF($J43:K43,K43)&gt;1,"",IF(K43&lt;&gt;"",$A$3,""))</f>
        <v/>
      </c>
      <c r="L103" t="str">
        <f>IF(COUNTIF($J43:L43,L43)&gt;1,"",IF(L43&lt;&gt;"",$A$4,""))</f>
        <v/>
      </c>
      <c r="M103" t="str">
        <f>IF(COUNTIF($J43:M43,M43)&gt;1,"",IF(M43&lt;&gt;"",$A$5,""))</f>
        <v/>
      </c>
      <c r="N103" t="str">
        <f>IF(COUNTIF($J43:N43,N43)&gt;1,"",IF(N43&lt;&gt;"",$A$6,""))</f>
        <v/>
      </c>
      <c r="O103" t="str">
        <f>IF(COUNTIF($J43:O43,O43)&gt;1,"",IF(O43&lt;&gt;"",$A$7,""))</f>
        <v/>
      </c>
      <c r="P103" t="str">
        <f>IF(COUNTIF($J43:P43,P43)&gt;1,"",IF(P43&lt;&gt;"",$A$8,""))</f>
        <v/>
      </c>
      <c r="Q103" t="str">
        <f>IF(COUNTIF($J43:Q43,Q43)&gt;1,"",IF(Q43&lt;&gt;"",$A$9,""))</f>
        <v/>
      </c>
      <c r="R103" t="str">
        <f>IF(COUNTIF($J43:R43,R43)&gt;1,"",IF(R43&lt;&gt;"",$A$10,""))</f>
        <v/>
      </c>
      <c r="S103" s="5" t="str">
        <f>IF(COUNTIF($J43:S43,S43)&gt;1,"",IF(S43&lt;&gt;"",$A$11,""))</f>
        <v/>
      </c>
    </row>
    <row r="104" spans="9:19" x14ac:dyDescent="0.25">
      <c r="I104">
        <v>43</v>
      </c>
      <c r="J104" t="str">
        <f t="shared" si="1"/>
        <v/>
      </c>
      <c r="K104" t="str">
        <f>IF(COUNTIF($J44:K44,K44)&gt;1,"",IF(K44&lt;&gt;"",$A$3,""))</f>
        <v/>
      </c>
      <c r="L104" t="str">
        <f>IF(COUNTIF($J44:L44,L44)&gt;1,"",IF(L44&lt;&gt;"",$A$4,""))</f>
        <v/>
      </c>
      <c r="M104" t="str">
        <f>IF(COUNTIF($J44:M44,M44)&gt;1,"",IF(M44&lt;&gt;"",$A$5,""))</f>
        <v/>
      </c>
      <c r="N104" t="str">
        <f>IF(COUNTIF($J44:N44,N44)&gt;1,"",IF(N44&lt;&gt;"",$A$6,""))</f>
        <v/>
      </c>
      <c r="O104" t="str">
        <f>IF(COUNTIF($J44:O44,O44)&gt;1,"",IF(O44&lt;&gt;"",$A$7,""))</f>
        <v/>
      </c>
      <c r="P104" t="str">
        <f>IF(COUNTIF($J44:P44,P44)&gt;1,"",IF(P44&lt;&gt;"",$A$8,""))</f>
        <v/>
      </c>
      <c r="Q104" t="str">
        <f>IF(COUNTIF($J44:Q44,Q44)&gt;1,"",IF(Q44&lt;&gt;"",$A$9,""))</f>
        <v/>
      </c>
      <c r="R104" t="str">
        <f>IF(COUNTIF($J44:R44,R44)&gt;1,"",IF(R44&lt;&gt;"",$A$10,""))</f>
        <v/>
      </c>
      <c r="S104" s="5" t="str">
        <f>IF(COUNTIF($J44:S44,S44)&gt;1,"",IF(S44&lt;&gt;"",$A$11,""))</f>
        <v/>
      </c>
    </row>
    <row r="105" spans="9:19" x14ac:dyDescent="0.25">
      <c r="I105">
        <v>44</v>
      </c>
      <c r="J105" t="str">
        <f t="shared" si="1"/>
        <v/>
      </c>
      <c r="K105" t="str">
        <f>IF(COUNTIF($J45:K45,K45)&gt;1,"",IF(K45&lt;&gt;"",$A$3,""))</f>
        <v/>
      </c>
      <c r="L105" t="str">
        <f>IF(COUNTIF($J45:L45,L45)&gt;1,"",IF(L45&lt;&gt;"",$A$4,""))</f>
        <v/>
      </c>
      <c r="M105" t="str">
        <f>IF(COUNTIF($J45:M45,M45)&gt;1,"",IF(M45&lt;&gt;"",$A$5,""))</f>
        <v/>
      </c>
      <c r="N105" t="str">
        <f>IF(COUNTIF($J45:N45,N45)&gt;1,"",IF(N45&lt;&gt;"",$A$6,""))</f>
        <v/>
      </c>
      <c r="O105" t="str">
        <f>IF(COUNTIF($J45:O45,O45)&gt;1,"",IF(O45&lt;&gt;"",$A$7,""))</f>
        <v/>
      </c>
      <c r="P105" t="str">
        <f>IF(COUNTIF($J45:P45,P45)&gt;1,"",IF(P45&lt;&gt;"",$A$8,""))</f>
        <v/>
      </c>
      <c r="Q105" t="str">
        <f>IF(COUNTIF($J45:Q45,Q45)&gt;1,"",IF(Q45&lt;&gt;"",$A$9,""))</f>
        <v/>
      </c>
      <c r="R105" t="str">
        <f>IF(COUNTIF($J45:R45,R45)&gt;1,"",IF(R45&lt;&gt;"",$A$10,""))</f>
        <v/>
      </c>
      <c r="S105" s="5" t="str">
        <f>IF(COUNTIF($J45:S45,S45)&gt;1,"",IF(S45&lt;&gt;"",$A$11,""))</f>
        <v/>
      </c>
    </row>
    <row r="106" spans="9:19" x14ac:dyDescent="0.25">
      <c r="I106">
        <v>45</v>
      </c>
      <c r="J106" t="str">
        <f t="shared" si="1"/>
        <v/>
      </c>
      <c r="K106" t="str">
        <f>IF(COUNTIF($J46:K46,K46)&gt;1,"",IF(K46&lt;&gt;"",$A$3,""))</f>
        <v/>
      </c>
      <c r="L106" t="str">
        <f>IF(COUNTIF($J46:L46,L46)&gt;1,"",IF(L46&lt;&gt;"",$A$4,""))</f>
        <v/>
      </c>
      <c r="M106" t="str">
        <f>IF(COUNTIF($J46:M46,M46)&gt;1,"",IF(M46&lt;&gt;"",$A$5,""))</f>
        <v/>
      </c>
      <c r="N106" t="str">
        <f>IF(COUNTIF($J46:N46,N46)&gt;1,"",IF(N46&lt;&gt;"",$A$6,""))</f>
        <v/>
      </c>
      <c r="O106" t="str">
        <f>IF(COUNTIF($J46:O46,O46)&gt;1,"",IF(O46&lt;&gt;"",$A$7,""))</f>
        <v/>
      </c>
      <c r="P106" t="str">
        <f>IF(COUNTIF($J46:P46,P46)&gt;1,"",IF(P46&lt;&gt;"",$A$8,""))</f>
        <v/>
      </c>
      <c r="Q106" t="str">
        <f>IF(COUNTIF($J46:Q46,Q46)&gt;1,"",IF(Q46&lt;&gt;"",$A$9,""))</f>
        <v/>
      </c>
      <c r="R106" t="str">
        <f>IF(COUNTIF($J46:R46,R46)&gt;1,"",IF(R46&lt;&gt;"",$A$10,""))</f>
        <v/>
      </c>
      <c r="S106" s="5" t="str">
        <f>IF(COUNTIF($J46:S46,S46)&gt;1,"",IF(S46&lt;&gt;"",$A$11,""))</f>
        <v/>
      </c>
    </row>
    <row r="107" spans="9:19" x14ac:dyDescent="0.25">
      <c r="I107">
        <v>46</v>
      </c>
      <c r="J107" t="str">
        <f t="shared" si="1"/>
        <v/>
      </c>
      <c r="K107" t="str">
        <f>IF(COUNTIF($J47:K47,K47)&gt;1,"",IF(K47&lt;&gt;"",$A$3,""))</f>
        <v/>
      </c>
      <c r="L107" t="str">
        <f>IF(COUNTIF($J47:L47,L47)&gt;1,"",IF(L47&lt;&gt;"",$A$4,""))</f>
        <v/>
      </c>
      <c r="M107" t="str">
        <f>IF(COUNTIF($J47:M47,M47)&gt;1,"",IF(M47&lt;&gt;"",$A$5,""))</f>
        <v/>
      </c>
      <c r="N107" t="str">
        <f>IF(COUNTIF($J47:N47,N47)&gt;1,"",IF(N47&lt;&gt;"",$A$6,""))</f>
        <v/>
      </c>
      <c r="O107" t="str">
        <f>IF(COUNTIF($J47:O47,O47)&gt;1,"",IF(O47&lt;&gt;"",$A$7,""))</f>
        <v/>
      </c>
      <c r="P107" t="str">
        <f>IF(COUNTIF($J47:P47,P47)&gt;1,"",IF(P47&lt;&gt;"",$A$8,""))</f>
        <v/>
      </c>
      <c r="Q107" t="str">
        <f>IF(COUNTIF($J47:Q47,Q47)&gt;1,"",IF(Q47&lt;&gt;"",$A$9,""))</f>
        <v/>
      </c>
      <c r="R107" t="str">
        <f>IF(COUNTIF($J47:R47,R47)&gt;1,"",IF(R47&lt;&gt;"",$A$10,""))</f>
        <v/>
      </c>
      <c r="S107" s="5" t="str">
        <f>IF(COUNTIF($J47:S47,S47)&gt;1,"",IF(S47&lt;&gt;"",$A$11,""))</f>
        <v/>
      </c>
    </row>
    <row r="108" spans="9:19" x14ac:dyDescent="0.25">
      <c r="I108">
        <v>47</v>
      </c>
      <c r="J108" t="str">
        <f t="shared" si="1"/>
        <v/>
      </c>
      <c r="K108" t="str">
        <f>IF(COUNTIF($J48:K48,K48)&gt;1,"",IF(K48&lt;&gt;"",$A$3,""))</f>
        <v/>
      </c>
      <c r="L108" t="str">
        <f>IF(COUNTIF($J48:L48,L48)&gt;1,"",IF(L48&lt;&gt;"",$A$4,""))</f>
        <v/>
      </c>
      <c r="M108" t="str">
        <f>IF(COUNTIF($J48:M48,M48)&gt;1,"",IF(M48&lt;&gt;"",$A$5,""))</f>
        <v/>
      </c>
      <c r="N108" t="str">
        <f>IF(COUNTIF($J48:N48,N48)&gt;1,"",IF(N48&lt;&gt;"",$A$6,""))</f>
        <v/>
      </c>
      <c r="O108" t="str">
        <f>IF(COUNTIF($J48:O48,O48)&gt;1,"",IF(O48&lt;&gt;"",$A$7,""))</f>
        <v/>
      </c>
      <c r="P108" t="str">
        <f>IF(COUNTIF($J48:P48,P48)&gt;1,"",IF(P48&lt;&gt;"",$A$8,""))</f>
        <v/>
      </c>
      <c r="Q108" t="str">
        <f>IF(COUNTIF($J48:Q48,Q48)&gt;1,"",IF(Q48&lt;&gt;"",$A$9,""))</f>
        <v/>
      </c>
      <c r="R108" t="str">
        <f>IF(COUNTIF($J48:R48,R48)&gt;1,"",IF(R48&lt;&gt;"",$A$10,""))</f>
        <v/>
      </c>
      <c r="S108" s="5" t="str">
        <f>IF(COUNTIF($J48:S48,S48)&gt;1,"",IF(S48&lt;&gt;"",$A$11,""))</f>
        <v/>
      </c>
    </row>
    <row r="109" spans="9:19" x14ac:dyDescent="0.25">
      <c r="I109">
        <v>48</v>
      </c>
      <c r="J109" t="str">
        <f t="shared" si="1"/>
        <v/>
      </c>
      <c r="K109" t="str">
        <f>IF(COUNTIF($J49:K49,K49)&gt;1,"",IF(K49&lt;&gt;"",$A$3,""))</f>
        <v/>
      </c>
      <c r="L109" t="str">
        <f>IF(COUNTIF($J49:L49,L49)&gt;1,"",IF(L49&lt;&gt;"",$A$4,""))</f>
        <v/>
      </c>
      <c r="M109" t="str">
        <f>IF(COUNTIF($J49:M49,M49)&gt;1,"",IF(M49&lt;&gt;"",$A$5,""))</f>
        <v/>
      </c>
      <c r="N109" t="str">
        <f>IF(COUNTIF($J49:N49,N49)&gt;1,"",IF(N49&lt;&gt;"",$A$6,""))</f>
        <v/>
      </c>
      <c r="O109" t="str">
        <f>IF(COUNTIF($J49:O49,O49)&gt;1,"",IF(O49&lt;&gt;"",$A$7,""))</f>
        <v/>
      </c>
      <c r="P109" t="str">
        <f>IF(COUNTIF($J49:P49,P49)&gt;1,"",IF(P49&lt;&gt;"",$A$8,""))</f>
        <v/>
      </c>
      <c r="Q109" t="str">
        <f>IF(COUNTIF($J49:Q49,Q49)&gt;1,"",IF(Q49&lt;&gt;"",$A$9,""))</f>
        <v/>
      </c>
      <c r="R109" t="str">
        <f>IF(COUNTIF($J49:R49,R49)&gt;1,"",IF(R49&lt;&gt;"",$A$10,""))</f>
        <v/>
      </c>
      <c r="S109" s="5" t="str">
        <f>IF(COUNTIF($J49:S49,S49)&gt;1,"",IF(S49&lt;&gt;"",$A$11,""))</f>
        <v/>
      </c>
    </row>
    <row r="110" spans="9:19" x14ac:dyDescent="0.25">
      <c r="I110">
        <v>49</v>
      </c>
      <c r="J110" t="str">
        <f t="shared" si="1"/>
        <v/>
      </c>
      <c r="K110" t="str">
        <f>IF(COUNTIF($J50:K50,K50)&gt;1,"",IF(K50&lt;&gt;"",$A$3,""))</f>
        <v/>
      </c>
      <c r="L110" t="str">
        <f>IF(COUNTIF($J50:L50,L50)&gt;1,"",IF(L50&lt;&gt;"",$A$4,""))</f>
        <v/>
      </c>
      <c r="M110" t="str">
        <f>IF(COUNTIF($J50:M50,M50)&gt;1,"",IF(M50&lt;&gt;"",$A$5,""))</f>
        <v/>
      </c>
      <c r="N110" t="str">
        <f>IF(COUNTIF($J50:N50,N50)&gt;1,"",IF(N50&lt;&gt;"",$A$6,""))</f>
        <v/>
      </c>
      <c r="O110" t="str">
        <f>IF(COUNTIF($J50:O50,O50)&gt;1,"",IF(O50&lt;&gt;"",$A$7,""))</f>
        <v/>
      </c>
      <c r="P110" t="str">
        <f>IF(COUNTIF($J50:P50,P50)&gt;1,"",IF(P50&lt;&gt;"",$A$8,""))</f>
        <v/>
      </c>
      <c r="Q110" t="str">
        <f>IF(COUNTIF($J50:Q50,Q50)&gt;1,"",IF(Q50&lt;&gt;"",$A$9,""))</f>
        <v/>
      </c>
      <c r="R110" t="str">
        <f>IF(COUNTIF($J50:R50,R50)&gt;1,"",IF(R50&lt;&gt;"",$A$10,""))</f>
        <v/>
      </c>
      <c r="S110" s="5" t="str">
        <f>IF(COUNTIF($J50:S50,S50)&gt;1,"",IF(S50&lt;&gt;"",$A$11,""))</f>
        <v/>
      </c>
    </row>
    <row r="111" spans="9:19" x14ac:dyDescent="0.25">
      <c r="I111">
        <v>50</v>
      </c>
      <c r="J111" t="str">
        <f t="shared" si="1"/>
        <v/>
      </c>
      <c r="K111" t="str">
        <f>IF(COUNTIF($J51:K51,K51)&gt;1,"",IF(K51&lt;&gt;"",$A$3,""))</f>
        <v/>
      </c>
      <c r="L111" t="str">
        <f>IF(COUNTIF($J51:L51,L51)&gt;1,"",IF(L51&lt;&gt;"",$A$4,""))</f>
        <v/>
      </c>
      <c r="M111" t="str">
        <f>IF(COUNTIF($J51:M51,M51)&gt;1,"",IF(M51&lt;&gt;"",$A$5,""))</f>
        <v/>
      </c>
      <c r="N111" t="str">
        <f>IF(COUNTIF($J51:N51,N51)&gt;1,"",IF(N51&lt;&gt;"",$A$6,""))</f>
        <v/>
      </c>
      <c r="O111" t="str">
        <f>IF(COUNTIF($J51:O51,O51)&gt;1,"",IF(O51&lt;&gt;"",$A$7,""))</f>
        <v/>
      </c>
      <c r="P111" t="str">
        <f>IF(COUNTIF($J51:P51,P51)&gt;1,"",IF(P51&lt;&gt;"",$A$8,""))</f>
        <v/>
      </c>
      <c r="Q111" t="str">
        <f>IF(COUNTIF($J51:Q51,Q51)&gt;1,"",IF(Q51&lt;&gt;"",$A$9,""))</f>
        <v/>
      </c>
      <c r="R111" t="str">
        <f>IF(COUNTIF($J51:R51,R51)&gt;1,"",IF(R51&lt;&gt;"",$A$10,""))</f>
        <v/>
      </c>
      <c r="S111" s="5" t="str">
        <f>IF(COUNTIF($J51:S51,S51)&gt;1,"",IF(S51&lt;&gt;"",$A$11,""))</f>
        <v/>
      </c>
    </row>
    <row r="112" spans="9:19" x14ac:dyDescent="0.25">
      <c r="I112">
        <v>51</v>
      </c>
      <c r="J112" t="str">
        <f t="shared" si="1"/>
        <v/>
      </c>
      <c r="K112" t="str">
        <f>IF(COUNTIF($J52:K52,K52)&gt;1,"",IF(K52&lt;&gt;"",$A$3,""))</f>
        <v/>
      </c>
      <c r="L112" t="str">
        <f>IF(COUNTIF($J52:L52,L52)&gt;1,"",IF(L52&lt;&gt;"",$A$4,""))</f>
        <v/>
      </c>
      <c r="M112" t="str">
        <f>IF(COUNTIF($J52:M52,M52)&gt;1,"",IF(M52&lt;&gt;"",$A$5,""))</f>
        <v/>
      </c>
      <c r="N112" t="str">
        <f>IF(COUNTIF($J52:N52,N52)&gt;1,"",IF(N52&lt;&gt;"",$A$6,""))</f>
        <v/>
      </c>
      <c r="O112" t="str">
        <f>IF(COUNTIF($J52:O52,O52)&gt;1,"",IF(O52&lt;&gt;"",$A$7,""))</f>
        <v/>
      </c>
      <c r="P112" t="str">
        <f>IF(COUNTIF($J52:P52,P52)&gt;1,"",IF(P52&lt;&gt;"",$A$8,""))</f>
        <v/>
      </c>
      <c r="Q112" t="str">
        <f>IF(COUNTIF($J52:Q52,Q52)&gt;1,"",IF(Q52&lt;&gt;"",$A$9,""))</f>
        <v/>
      </c>
      <c r="R112" t="str">
        <f>IF(COUNTIF($J52:R52,R52)&gt;1,"",IF(R52&lt;&gt;"",$A$10,""))</f>
        <v/>
      </c>
      <c r="S112" s="5" t="str">
        <f>IF(COUNTIF($J52:S52,S52)&gt;1,"",IF(S52&lt;&gt;"",$A$11,""))</f>
        <v/>
      </c>
    </row>
    <row r="113" spans="9:19" x14ac:dyDescent="0.25">
      <c r="I113">
        <v>52</v>
      </c>
      <c r="J113" t="str">
        <f t="shared" si="1"/>
        <v/>
      </c>
      <c r="K113" t="str">
        <f>IF(COUNTIF($J53:K53,K53)&gt;1,"",IF(K53&lt;&gt;"",$A$3,""))</f>
        <v/>
      </c>
      <c r="L113" t="str">
        <f>IF(COUNTIF($J53:L53,L53)&gt;1,"",IF(L53&lt;&gt;"",$A$4,""))</f>
        <v/>
      </c>
      <c r="M113" t="str">
        <f>IF(COUNTIF($J53:M53,M53)&gt;1,"",IF(M53&lt;&gt;"",$A$5,""))</f>
        <v/>
      </c>
      <c r="N113" t="str">
        <f>IF(COUNTIF($J53:N53,N53)&gt;1,"",IF(N53&lt;&gt;"",$A$6,""))</f>
        <v/>
      </c>
      <c r="O113" t="str">
        <f>IF(COUNTIF($J53:O53,O53)&gt;1,"",IF(O53&lt;&gt;"",$A$7,""))</f>
        <v/>
      </c>
      <c r="P113" t="str">
        <f>IF(COUNTIF($J53:P53,P53)&gt;1,"",IF(P53&lt;&gt;"",$A$8,""))</f>
        <v/>
      </c>
      <c r="Q113" t="str">
        <f>IF(COUNTIF($J53:Q53,Q53)&gt;1,"",IF(Q53&lt;&gt;"",$A$9,""))</f>
        <v/>
      </c>
      <c r="R113" t="str">
        <f>IF(COUNTIF($J53:R53,R53)&gt;1,"",IF(R53&lt;&gt;"",$A$10,""))</f>
        <v/>
      </c>
      <c r="S113" s="5" t="str">
        <f>IF(COUNTIF($J53:S53,S53)&gt;1,"",IF(S53&lt;&gt;"",$A$11,""))</f>
        <v/>
      </c>
    </row>
    <row r="114" spans="9:19" x14ac:dyDescent="0.25">
      <c r="I114">
        <v>53</v>
      </c>
      <c r="J114" t="str">
        <f t="shared" si="1"/>
        <v/>
      </c>
      <c r="K114" t="str">
        <f>IF(COUNTIF($J54:K54,K54)&gt;1,"",IF(K54&lt;&gt;"",$A$3,""))</f>
        <v/>
      </c>
      <c r="L114" t="str">
        <f>IF(COUNTIF($J54:L54,L54)&gt;1,"",IF(L54&lt;&gt;"",$A$4,""))</f>
        <v/>
      </c>
      <c r="M114" t="str">
        <f>IF(COUNTIF($J54:M54,M54)&gt;1,"",IF(M54&lt;&gt;"",$A$5,""))</f>
        <v/>
      </c>
      <c r="N114" t="str">
        <f>IF(COUNTIF($J54:N54,N54)&gt;1,"",IF(N54&lt;&gt;"",$A$6,""))</f>
        <v/>
      </c>
      <c r="O114" t="str">
        <f>IF(COUNTIF($J54:O54,O54)&gt;1,"",IF(O54&lt;&gt;"",$A$7,""))</f>
        <v/>
      </c>
      <c r="P114" t="str">
        <f>IF(COUNTIF($J54:P54,P54)&gt;1,"",IF(P54&lt;&gt;"",$A$8,""))</f>
        <v/>
      </c>
      <c r="Q114" t="str">
        <f>IF(COUNTIF($J54:Q54,Q54)&gt;1,"",IF(Q54&lt;&gt;"",$A$9,""))</f>
        <v/>
      </c>
      <c r="R114" t="str">
        <f>IF(COUNTIF($J54:R54,R54)&gt;1,"",IF(R54&lt;&gt;"",$A$10,""))</f>
        <v/>
      </c>
      <c r="S114" s="5" t="str">
        <f>IF(COUNTIF($J54:S54,S54)&gt;1,"",IF(S54&lt;&gt;"",$A$11,""))</f>
        <v/>
      </c>
    </row>
    <row r="115" spans="9:19" x14ac:dyDescent="0.25">
      <c r="I115">
        <v>54</v>
      </c>
      <c r="J115" t="str">
        <f t="shared" si="1"/>
        <v/>
      </c>
      <c r="K115" t="str">
        <f>IF(COUNTIF($J55:K55,K55)&gt;1,"",IF(K55&lt;&gt;"",$A$3,""))</f>
        <v/>
      </c>
      <c r="L115" t="str">
        <f>IF(COUNTIF($J55:L55,L55)&gt;1,"",IF(L55&lt;&gt;"",$A$4,""))</f>
        <v/>
      </c>
      <c r="M115" t="str">
        <f>IF(COUNTIF($J55:M55,M55)&gt;1,"",IF(M55&lt;&gt;"",$A$5,""))</f>
        <v/>
      </c>
      <c r="N115" t="str">
        <f>IF(COUNTIF($J55:N55,N55)&gt;1,"",IF(N55&lt;&gt;"",$A$6,""))</f>
        <v/>
      </c>
      <c r="O115" t="str">
        <f>IF(COUNTIF($J55:O55,O55)&gt;1,"",IF(O55&lt;&gt;"",$A$7,""))</f>
        <v/>
      </c>
      <c r="P115" t="str">
        <f>IF(COUNTIF($J55:P55,P55)&gt;1,"",IF(P55&lt;&gt;"",$A$8,""))</f>
        <v/>
      </c>
      <c r="Q115" t="str">
        <f>IF(COUNTIF($J55:Q55,Q55)&gt;1,"",IF(Q55&lt;&gt;"",$A$9,""))</f>
        <v/>
      </c>
      <c r="R115" t="str">
        <f>IF(COUNTIF($J55:R55,R55)&gt;1,"",IF(R55&lt;&gt;"",$A$10,""))</f>
        <v/>
      </c>
      <c r="S115" s="5" t="str">
        <f>IF(COUNTIF($J55:S55,S55)&gt;1,"",IF(S55&lt;&gt;"",$A$11,""))</f>
        <v/>
      </c>
    </row>
    <row r="116" spans="9:19" x14ac:dyDescent="0.25">
      <c r="I116">
        <v>55</v>
      </c>
      <c r="J116" t="str">
        <f t="shared" si="1"/>
        <v/>
      </c>
      <c r="K116" t="str">
        <f>IF(COUNTIF($J56:K56,K56)&gt;1,"",IF(K56&lt;&gt;"",$A$3,""))</f>
        <v/>
      </c>
      <c r="L116" t="str">
        <f>IF(COUNTIF($J56:L56,L56)&gt;1,"",IF(L56&lt;&gt;"",$A$4,""))</f>
        <v/>
      </c>
      <c r="M116" t="str">
        <f>IF(COUNTIF($J56:M56,M56)&gt;1,"",IF(M56&lt;&gt;"",$A$5,""))</f>
        <v/>
      </c>
      <c r="N116" t="str">
        <f>IF(COUNTIF($J56:N56,N56)&gt;1,"",IF(N56&lt;&gt;"",$A$6,""))</f>
        <v/>
      </c>
      <c r="O116" t="str">
        <f>IF(COUNTIF($J56:O56,O56)&gt;1,"",IF(O56&lt;&gt;"",$A$7,""))</f>
        <v/>
      </c>
      <c r="P116" t="str">
        <f>IF(COUNTIF($J56:P56,P56)&gt;1,"",IF(P56&lt;&gt;"",$A$8,""))</f>
        <v/>
      </c>
      <c r="Q116" t="str">
        <f>IF(COUNTIF($J56:Q56,Q56)&gt;1,"",IF(Q56&lt;&gt;"",$A$9,""))</f>
        <v/>
      </c>
      <c r="R116" t="str">
        <f>IF(COUNTIF($J56:R56,R56)&gt;1,"",IF(R56&lt;&gt;"",$A$10,""))</f>
        <v/>
      </c>
      <c r="S116" s="5" t="str">
        <f>IF(COUNTIF($J56:S56,S56)&gt;1,"",IF(S56&lt;&gt;"",$A$11,""))</f>
        <v/>
      </c>
    </row>
    <row r="117" spans="9:19" x14ac:dyDescent="0.25">
      <c r="I117">
        <v>56</v>
      </c>
      <c r="J117" t="str">
        <f t="shared" si="1"/>
        <v/>
      </c>
      <c r="K117" t="str">
        <f>IF(COUNTIF($J57:K57,K57)&gt;1,"",IF(K57&lt;&gt;"",$A$3,""))</f>
        <v/>
      </c>
      <c r="L117" t="str">
        <f>IF(COUNTIF($J57:L57,L57)&gt;1,"",IF(L57&lt;&gt;"",$A$4,""))</f>
        <v/>
      </c>
      <c r="M117" t="str">
        <f>IF(COUNTIF($J57:M57,M57)&gt;1,"",IF(M57&lt;&gt;"",$A$5,""))</f>
        <v/>
      </c>
      <c r="N117" t="str">
        <f>IF(COUNTIF($J57:N57,N57)&gt;1,"",IF(N57&lt;&gt;"",$A$6,""))</f>
        <v/>
      </c>
      <c r="O117" t="str">
        <f>IF(COUNTIF($J57:O57,O57)&gt;1,"",IF(O57&lt;&gt;"",$A$7,""))</f>
        <v/>
      </c>
      <c r="P117" t="str">
        <f>IF(COUNTIF($J57:P57,P57)&gt;1,"",IF(P57&lt;&gt;"",$A$8,""))</f>
        <v/>
      </c>
      <c r="Q117" t="str">
        <f>IF(COUNTIF($J57:Q57,Q57)&gt;1,"",IF(Q57&lt;&gt;"",$A$9,""))</f>
        <v/>
      </c>
      <c r="R117" t="str">
        <f>IF(COUNTIF($J57:R57,R57)&gt;1,"",IF(R57&lt;&gt;"",$A$10,""))</f>
        <v/>
      </c>
      <c r="S117" s="5" t="str">
        <f>IF(COUNTIF($J57:S57,S57)&gt;1,"",IF(S57&lt;&gt;"",$A$11,""))</f>
        <v/>
      </c>
    </row>
    <row r="118" spans="9:19" x14ac:dyDescent="0.25">
      <c r="I118">
        <v>57</v>
      </c>
      <c r="J118" t="str">
        <f t="shared" si="1"/>
        <v/>
      </c>
      <c r="K118" t="str">
        <f>IF(COUNTIF($J58:K58,K58)&gt;1,"",IF(K58&lt;&gt;"",$A$3,""))</f>
        <v/>
      </c>
      <c r="L118" t="str">
        <f>IF(COUNTIF($J58:L58,L58)&gt;1,"",IF(L58&lt;&gt;"",$A$4,""))</f>
        <v/>
      </c>
      <c r="M118" t="str">
        <f>IF(COUNTIF($J58:M58,M58)&gt;1,"",IF(M58&lt;&gt;"",$A$5,""))</f>
        <v/>
      </c>
      <c r="N118" t="str">
        <f>IF(COUNTIF($J58:N58,N58)&gt;1,"",IF(N58&lt;&gt;"",$A$6,""))</f>
        <v/>
      </c>
      <c r="O118" t="str">
        <f>IF(COUNTIF($J58:O58,O58)&gt;1,"",IF(O58&lt;&gt;"",$A$7,""))</f>
        <v/>
      </c>
      <c r="P118" t="str">
        <f>IF(COUNTIF($J58:P58,P58)&gt;1,"",IF(P58&lt;&gt;"",$A$8,""))</f>
        <v/>
      </c>
      <c r="Q118" t="str">
        <f>IF(COUNTIF($J58:Q58,Q58)&gt;1,"",IF(Q58&lt;&gt;"",$A$9,""))</f>
        <v/>
      </c>
      <c r="R118" t="str">
        <f>IF(COUNTIF($J58:R58,R58)&gt;1,"",IF(R58&lt;&gt;"",$A$10,""))</f>
        <v/>
      </c>
      <c r="S118" s="5" t="str">
        <f>IF(COUNTIF($J58:S58,S58)&gt;1,"",IF(S58&lt;&gt;"",$A$11,""))</f>
        <v/>
      </c>
    </row>
    <row r="119" spans="9:19" x14ac:dyDescent="0.25">
      <c r="I119">
        <v>58</v>
      </c>
      <c r="J119" t="str">
        <f t="shared" si="1"/>
        <v/>
      </c>
      <c r="K119" t="str">
        <f>IF(COUNTIF($J59:K59,K59)&gt;1,"",IF(K59&lt;&gt;"",$A$3,""))</f>
        <v/>
      </c>
      <c r="L119" t="str">
        <f>IF(COUNTIF($J59:L59,L59)&gt;1,"",IF(L59&lt;&gt;"",$A$4,""))</f>
        <v/>
      </c>
      <c r="M119" t="str">
        <f>IF(COUNTIF($J59:M59,M59)&gt;1,"",IF(M59&lt;&gt;"",$A$5,""))</f>
        <v/>
      </c>
      <c r="N119" t="str">
        <f>IF(COUNTIF($J59:N59,N59)&gt;1,"",IF(N59&lt;&gt;"",$A$6,""))</f>
        <v/>
      </c>
      <c r="O119" t="str">
        <f>IF(COUNTIF($J59:O59,O59)&gt;1,"",IF(O59&lt;&gt;"",$A$7,""))</f>
        <v/>
      </c>
      <c r="P119" t="str">
        <f>IF(COUNTIF($J59:P59,P59)&gt;1,"",IF(P59&lt;&gt;"",$A$8,""))</f>
        <v/>
      </c>
      <c r="Q119" t="str">
        <f>IF(COUNTIF($J59:Q59,Q59)&gt;1,"",IF(Q59&lt;&gt;"",$A$9,""))</f>
        <v/>
      </c>
      <c r="R119" t="str">
        <f>IF(COUNTIF($J59:R59,R59)&gt;1,"",IF(R59&lt;&gt;"",$A$10,""))</f>
        <v/>
      </c>
      <c r="S119" s="5" t="str">
        <f>IF(COUNTIF($J59:S59,S59)&gt;1,"",IF(S59&lt;&gt;"",$A$11,""))</f>
        <v/>
      </c>
    </row>
    <row r="120" spans="9:19" x14ac:dyDescent="0.25">
      <c r="I120">
        <v>59</v>
      </c>
      <c r="J120" t="str">
        <f t="shared" si="1"/>
        <v/>
      </c>
      <c r="K120" t="str">
        <f>IF(COUNTIF($J60:K60,K60)&gt;1,"",IF(K60&lt;&gt;"",$A$3,""))</f>
        <v/>
      </c>
      <c r="L120" t="str">
        <f>IF(COUNTIF($J60:L60,L60)&gt;1,"",IF(L60&lt;&gt;"",$A$4,""))</f>
        <v/>
      </c>
      <c r="M120" t="str">
        <f>IF(COUNTIF($J60:M60,M60)&gt;1,"",IF(M60&lt;&gt;"",$A$5,""))</f>
        <v/>
      </c>
      <c r="N120" t="str">
        <f>IF(COUNTIF($J60:N60,N60)&gt;1,"",IF(N60&lt;&gt;"",$A$6,""))</f>
        <v/>
      </c>
      <c r="O120" t="str">
        <f>IF(COUNTIF($J60:O60,O60)&gt;1,"",IF(O60&lt;&gt;"",$A$7,""))</f>
        <v/>
      </c>
      <c r="P120" t="str">
        <f>IF(COUNTIF($J60:P60,P60)&gt;1,"",IF(P60&lt;&gt;"",$A$8,""))</f>
        <v/>
      </c>
      <c r="Q120" t="str">
        <f>IF(COUNTIF($J60:Q60,Q60)&gt;1,"",IF(Q60&lt;&gt;"",$A$9,""))</f>
        <v/>
      </c>
      <c r="R120" t="str">
        <f>IF(COUNTIF($J60:R60,R60)&gt;1,"",IF(R60&lt;&gt;"",$A$10,""))</f>
        <v/>
      </c>
      <c r="S120" s="5" t="str">
        <f>IF(COUNTIF($J60:S60,S60)&gt;1,"",IF(S60&lt;&gt;"",$A$11,""))</f>
        <v/>
      </c>
    </row>
    <row r="121" spans="9:19" x14ac:dyDescent="0.25">
      <c r="I121">
        <v>60</v>
      </c>
      <c r="J121" t="str">
        <f t="shared" si="1"/>
        <v/>
      </c>
      <c r="K121" t="str">
        <f>IF(COUNTIF($J61:K61,K61)&gt;1,"",IF(K61&lt;&gt;"",$A$3,""))</f>
        <v/>
      </c>
      <c r="L121" t="str">
        <f>IF(COUNTIF($J61:L61,L61)&gt;1,"",IF(L61&lt;&gt;"",$A$4,""))</f>
        <v/>
      </c>
      <c r="M121" t="str">
        <f>IF(COUNTIF($J61:M61,M61)&gt;1,"",IF(M61&lt;&gt;"",$A$5,""))</f>
        <v/>
      </c>
      <c r="N121" t="str">
        <f>IF(COUNTIF($J61:N61,N61)&gt;1,"",IF(N61&lt;&gt;"",$A$6,""))</f>
        <v/>
      </c>
      <c r="O121" t="str">
        <f>IF(COUNTIF($J61:O61,O61)&gt;1,"",IF(O61&lt;&gt;"",$A$7,""))</f>
        <v/>
      </c>
      <c r="P121" t="str">
        <f>IF(COUNTIF($J61:P61,P61)&gt;1,"",IF(P61&lt;&gt;"",$A$8,""))</f>
        <v/>
      </c>
      <c r="Q121" t="str">
        <f>IF(COUNTIF($J61:Q61,Q61)&gt;1,"",IF(Q61&lt;&gt;"",$A$9,""))</f>
        <v/>
      </c>
      <c r="R121" t="str">
        <f>IF(COUNTIF($J61:R61,R61)&gt;1,"",IF(R61&lt;&gt;"",$A$10,""))</f>
        <v/>
      </c>
      <c r="S121" s="5" t="str">
        <f>IF(COUNTIF($J61:S61,S61)&gt;1,"",IF(S61&lt;&gt;"",$A$11,""))</f>
        <v/>
      </c>
    </row>
  </sheetData>
  <conditionalFormatting sqref="A14:B14 A2:C13">
    <cfRule type="cellIs" dxfId="1" priority="2" operator="notEqual">
      <formula>""</formula>
    </cfRule>
  </conditionalFormatting>
  <conditionalFormatting sqref="D2:D13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BB181-7C21-497A-9F4A-567200C0E805}">
  <sheetPr codeName="Hoja5"/>
  <dimension ref="A1:E6"/>
  <sheetViews>
    <sheetView workbookViewId="0">
      <selection activeCell="F5" sqref="F5"/>
    </sheetView>
  </sheetViews>
  <sheetFormatPr baseColWidth="10" defaultRowHeight="15" x14ac:dyDescent="0.25"/>
  <cols>
    <col min="1" max="1" width="9.140625" bestFit="1" customWidth="1"/>
    <col min="2" max="2" width="9.5703125" bestFit="1" customWidth="1"/>
    <col min="3" max="3" width="5.42578125" bestFit="1" customWidth="1"/>
    <col min="4" max="4" width="18.85546875" bestFit="1" customWidth="1"/>
    <col min="5" max="5" width="18.42578125" bestFit="1" customWidth="1"/>
  </cols>
  <sheetData>
    <row r="1" spans="1:5" x14ac:dyDescent="0.25">
      <c r="A1" s="16" t="s">
        <v>154</v>
      </c>
      <c r="B1" s="16" t="s">
        <v>155</v>
      </c>
      <c r="C1" s="16" t="s">
        <v>156</v>
      </c>
      <c r="D1" s="16" t="s">
        <v>157</v>
      </c>
      <c r="E1" s="16" t="s">
        <v>122</v>
      </c>
    </row>
    <row r="2" spans="1:5" x14ac:dyDescent="0.25">
      <c r="A2" s="17">
        <v>231</v>
      </c>
      <c r="B2" s="17">
        <v>1</v>
      </c>
      <c r="C2" s="18" t="s">
        <v>158</v>
      </c>
      <c r="D2" s="18" t="s">
        <v>159</v>
      </c>
      <c r="E2" s="18" t="s">
        <v>131</v>
      </c>
    </row>
    <row r="3" spans="1:5" x14ac:dyDescent="0.25">
      <c r="A3" s="17">
        <v>232</v>
      </c>
      <c r="B3" s="17">
        <v>2</v>
      </c>
      <c r="C3" s="18" t="s">
        <v>160</v>
      </c>
      <c r="D3" s="18" t="s">
        <v>161</v>
      </c>
      <c r="E3" s="18" t="s">
        <v>131</v>
      </c>
    </row>
    <row r="4" spans="1:5" x14ac:dyDescent="0.25">
      <c r="A4" s="17">
        <v>233</v>
      </c>
      <c r="B4" s="17">
        <v>3</v>
      </c>
      <c r="C4" s="18" t="s">
        <v>162</v>
      </c>
      <c r="D4" s="18" t="s">
        <v>163</v>
      </c>
      <c r="E4" s="18" t="s">
        <v>131</v>
      </c>
    </row>
    <row r="5" spans="1:5" x14ac:dyDescent="0.25">
      <c r="A5" s="17">
        <v>234</v>
      </c>
      <c r="B5" s="17">
        <v>4</v>
      </c>
      <c r="C5" s="18" t="s">
        <v>164</v>
      </c>
      <c r="D5" s="18" t="s">
        <v>165</v>
      </c>
      <c r="E5" s="18" t="s">
        <v>131</v>
      </c>
    </row>
    <row r="6" spans="1:5" x14ac:dyDescent="0.25">
      <c r="A6" s="17">
        <v>235</v>
      </c>
      <c r="B6" s="17">
        <v>5</v>
      </c>
      <c r="C6" s="18" t="s">
        <v>166</v>
      </c>
      <c r="D6" s="18" t="s">
        <v>167</v>
      </c>
      <c r="E6" s="18" t="s">
        <v>131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7EB93-4B09-49D1-8ED3-B53005CD560C}">
  <sheetPr codeName="Hoja3"/>
  <dimension ref="A1:I38"/>
  <sheetViews>
    <sheetView topLeftCell="A4" workbookViewId="0">
      <selection activeCell="I38" sqref="I38"/>
    </sheetView>
  </sheetViews>
  <sheetFormatPr baseColWidth="10" defaultRowHeight="15" x14ac:dyDescent="0.25"/>
  <cols>
    <col min="1" max="1" width="22.42578125" customWidth="1"/>
    <col min="2" max="2" width="6.28515625" bestFit="1" customWidth="1"/>
    <col min="4" max="4" width="9.7109375" bestFit="1" customWidth="1"/>
    <col min="5" max="5" width="10.140625" bestFit="1" customWidth="1"/>
    <col min="6" max="6" width="45.28515625" bestFit="1" customWidth="1"/>
    <col min="7" max="7" width="7.85546875" bestFit="1" customWidth="1"/>
    <col min="8" max="8" width="13" bestFit="1" customWidth="1"/>
    <col min="9" max="9" width="16.85546875" bestFit="1" customWidth="1"/>
  </cols>
  <sheetData>
    <row r="1" spans="1:9" x14ac:dyDescent="0.25">
      <c r="A1" s="8" t="s">
        <v>122</v>
      </c>
      <c r="B1" s="8" t="s">
        <v>123</v>
      </c>
      <c r="C1" s="8" t="s">
        <v>124</v>
      </c>
      <c r="D1" s="8" t="s">
        <v>125</v>
      </c>
      <c r="E1" s="8" t="s">
        <v>126</v>
      </c>
      <c r="F1" s="8" t="s">
        <v>127</v>
      </c>
      <c r="G1" s="8" t="s">
        <v>128</v>
      </c>
      <c r="H1" s="8" t="s">
        <v>129</v>
      </c>
      <c r="I1" s="8" t="s">
        <v>130</v>
      </c>
    </row>
    <row r="2" spans="1:9" x14ac:dyDescent="0.25">
      <c r="A2" s="9" t="s">
        <v>131</v>
      </c>
      <c r="B2" s="10">
        <v>1</v>
      </c>
      <c r="C2" s="10">
        <v>1</v>
      </c>
      <c r="D2" s="9" t="s">
        <v>132</v>
      </c>
      <c r="E2" s="10">
        <v>1</v>
      </c>
      <c r="F2" s="9" t="s">
        <v>133</v>
      </c>
      <c r="G2" s="10">
        <v>1</v>
      </c>
      <c r="H2" s="10">
        <v>4</v>
      </c>
      <c r="I2" s="10">
        <v>0</v>
      </c>
    </row>
    <row r="3" spans="1:9" x14ac:dyDescent="0.25">
      <c r="A3" s="9" t="s">
        <v>131</v>
      </c>
      <c r="B3" s="10">
        <v>1</v>
      </c>
      <c r="C3" s="10">
        <v>1</v>
      </c>
      <c r="D3" s="9" t="s">
        <v>132</v>
      </c>
      <c r="E3" s="10">
        <v>1</v>
      </c>
      <c r="F3" s="9" t="s">
        <v>133</v>
      </c>
      <c r="G3" s="10">
        <v>2</v>
      </c>
      <c r="H3" s="10">
        <v>4</v>
      </c>
      <c r="I3" s="10">
        <v>1.2</v>
      </c>
    </row>
    <row r="4" spans="1:9" x14ac:dyDescent="0.25">
      <c r="A4" s="9" t="s">
        <v>131</v>
      </c>
      <c r="B4" s="10">
        <v>1</v>
      </c>
      <c r="C4" s="10">
        <v>1</v>
      </c>
      <c r="D4" s="9" t="s">
        <v>132</v>
      </c>
      <c r="E4" s="10">
        <v>1</v>
      </c>
      <c r="F4" s="9" t="s">
        <v>133</v>
      </c>
      <c r="G4" s="10">
        <v>3</v>
      </c>
      <c r="H4" s="10">
        <v>4</v>
      </c>
      <c r="I4" s="10">
        <v>2.4</v>
      </c>
    </row>
    <row r="5" spans="1:9" x14ac:dyDescent="0.25">
      <c r="A5" s="9" t="s">
        <v>131</v>
      </c>
      <c r="B5" s="10">
        <v>1</v>
      </c>
      <c r="C5" s="10">
        <v>1</v>
      </c>
      <c r="D5" s="9" t="s">
        <v>132</v>
      </c>
      <c r="E5" s="10">
        <v>1</v>
      </c>
      <c r="F5" s="9" t="s">
        <v>133</v>
      </c>
      <c r="G5" s="10">
        <v>4</v>
      </c>
      <c r="H5" s="10">
        <v>4</v>
      </c>
      <c r="I5" s="10">
        <v>3.2</v>
      </c>
    </row>
    <row r="6" spans="1:9" x14ac:dyDescent="0.25">
      <c r="A6" s="9" t="s">
        <v>131</v>
      </c>
      <c r="B6" s="10">
        <v>1</v>
      </c>
      <c r="C6" s="10">
        <v>1</v>
      </c>
      <c r="D6" s="9" t="s">
        <v>132</v>
      </c>
      <c r="E6" s="10">
        <v>1</v>
      </c>
      <c r="F6" s="9" t="s">
        <v>133</v>
      </c>
      <c r="G6" s="10">
        <v>5</v>
      </c>
      <c r="H6" s="10">
        <v>4</v>
      </c>
      <c r="I6" s="10">
        <v>4</v>
      </c>
    </row>
    <row r="7" spans="1:9" x14ac:dyDescent="0.25">
      <c r="A7" s="9" t="s">
        <v>131</v>
      </c>
      <c r="B7" s="10">
        <v>1</v>
      </c>
      <c r="C7" s="10">
        <v>2</v>
      </c>
      <c r="D7" s="9" t="s">
        <v>132</v>
      </c>
      <c r="E7" s="10">
        <v>2</v>
      </c>
      <c r="F7" s="9" t="s">
        <v>134</v>
      </c>
      <c r="G7" s="10">
        <v>1</v>
      </c>
      <c r="H7" s="10">
        <v>4</v>
      </c>
      <c r="I7" s="10">
        <v>0</v>
      </c>
    </row>
    <row r="8" spans="1:9" x14ac:dyDescent="0.25">
      <c r="A8" s="9" t="s">
        <v>131</v>
      </c>
      <c r="B8" s="10">
        <v>1</v>
      </c>
      <c r="C8" s="10">
        <v>2</v>
      </c>
      <c r="D8" s="9" t="s">
        <v>132</v>
      </c>
      <c r="E8" s="10">
        <v>2</v>
      </c>
      <c r="F8" s="9" t="s">
        <v>134</v>
      </c>
      <c r="G8" s="10">
        <v>2</v>
      </c>
      <c r="H8" s="10">
        <v>4</v>
      </c>
      <c r="I8" s="10">
        <v>1.2</v>
      </c>
    </row>
    <row r="9" spans="1:9" x14ac:dyDescent="0.25">
      <c r="A9" s="9" t="s">
        <v>131</v>
      </c>
      <c r="B9" s="10">
        <v>1</v>
      </c>
      <c r="C9" s="10">
        <v>2</v>
      </c>
      <c r="D9" s="9" t="s">
        <v>132</v>
      </c>
      <c r="E9" s="10">
        <v>2</v>
      </c>
      <c r="F9" s="9" t="s">
        <v>134</v>
      </c>
      <c r="G9" s="10">
        <v>3</v>
      </c>
      <c r="H9" s="10">
        <v>4</v>
      </c>
      <c r="I9" s="10">
        <v>2.4</v>
      </c>
    </row>
    <row r="10" spans="1:9" x14ac:dyDescent="0.25">
      <c r="A10" s="9" t="s">
        <v>131</v>
      </c>
      <c r="B10" s="10">
        <v>1</v>
      </c>
      <c r="C10" s="10">
        <v>2</v>
      </c>
      <c r="D10" s="9" t="s">
        <v>132</v>
      </c>
      <c r="E10" s="10">
        <v>2</v>
      </c>
      <c r="F10" s="9" t="s">
        <v>134</v>
      </c>
      <c r="G10" s="10">
        <v>4</v>
      </c>
      <c r="H10" s="10">
        <v>4</v>
      </c>
      <c r="I10" s="10">
        <v>3.2</v>
      </c>
    </row>
    <row r="11" spans="1:9" x14ac:dyDescent="0.25">
      <c r="A11" s="9" t="s">
        <v>131</v>
      </c>
      <c r="B11" s="10">
        <v>1</v>
      </c>
      <c r="C11" s="10">
        <v>2</v>
      </c>
      <c r="D11" s="9" t="s">
        <v>132</v>
      </c>
      <c r="E11" s="10">
        <v>2</v>
      </c>
      <c r="F11" s="9" t="s">
        <v>134</v>
      </c>
      <c r="G11" s="10">
        <v>5</v>
      </c>
      <c r="H11" s="10">
        <v>4</v>
      </c>
      <c r="I11" s="10">
        <v>4</v>
      </c>
    </row>
    <row r="12" spans="1:9" x14ac:dyDescent="0.25">
      <c r="A12" s="9" t="s">
        <v>131</v>
      </c>
      <c r="B12" s="10">
        <v>1</v>
      </c>
      <c r="C12" s="10">
        <v>3</v>
      </c>
      <c r="D12" s="9" t="s">
        <v>132</v>
      </c>
      <c r="E12" s="10">
        <v>3</v>
      </c>
      <c r="F12" s="9" t="s">
        <v>15</v>
      </c>
      <c r="G12" s="10">
        <v>1</v>
      </c>
      <c r="H12" s="10">
        <v>2</v>
      </c>
      <c r="I12" s="10">
        <v>0</v>
      </c>
    </row>
    <row r="13" spans="1:9" x14ac:dyDescent="0.25">
      <c r="A13" s="9" t="s">
        <v>131</v>
      </c>
      <c r="B13" s="10">
        <v>1</v>
      </c>
      <c r="C13" s="10">
        <v>3</v>
      </c>
      <c r="D13" s="9" t="s">
        <v>132</v>
      </c>
      <c r="E13" s="10">
        <v>3</v>
      </c>
      <c r="F13" s="9" t="s">
        <v>15</v>
      </c>
      <c r="G13" s="10">
        <v>2</v>
      </c>
      <c r="H13" s="10">
        <v>2</v>
      </c>
      <c r="I13" s="10">
        <v>0.6</v>
      </c>
    </row>
    <row r="14" spans="1:9" x14ac:dyDescent="0.25">
      <c r="A14" s="9" t="s">
        <v>131</v>
      </c>
      <c r="B14" s="10">
        <v>1</v>
      </c>
      <c r="C14" s="10">
        <v>3</v>
      </c>
      <c r="D14" s="9" t="s">
        <v>132</v>
      </c>
      <c r="E14" s="10">
        <v>3</v>
      </c>
      <c r="F14" s="9" t="s">
        <v>15</v>
      </c>
      <c r="G14" s="10">
        <v>3</v>
      </c>
      <c r="H14" s="10">
        <v>2</v>
      </c>
      <c r="I14" s="10">
        <v>1.2</v>
      </c>
    </row>
    <row r="15" spans="1:9" x14ac:dyDescent="0.25">
      <c r="A15" s="9" t="s">
        <v>131</v>
      </c>
      <c r="B15" s="10">
        <v>1</v>
      </c>
      <c r="C15" s="10">
        <v>3</v>
      </c>
      <c r="D15" s="9" t="s">
        <v>132</v>
      </c>
      <c r="E15" s="10">
        <v>3</v>
      </c>
      <c r="F15" s="9" t="s">
        <v>15</v>
      </c>
      <c r="G15" s="10">
        <v>4</v>
      </c>
      <c r="H15" s="10">
        <v>2</v>
      </c>
      <c r="I15" s="10">
        <v>1.6</v>
      </c>
    </row>
    <row r="16" spans="1:9" x14ac:dyDescent="0.25">
      <c r="A16" s="9" t="s">
        <v>131</v>
      </c>
      <c r="B16" s="10">
        <v>1</v>
      </c>
      <c r="C16" s="10">
        <v>3</v>
      </c>
      <c r="D16" s="9" t="s">
        <v>132</v>
      </c>
      <c r="E16" s="10">
        <v>3</v>
      </c>
      <c r="F16" s="9" t="s">
        <v>15</v>
      </c>
      <c r="G16" s="10">
        <v>5</v>
      </c>
      <c r="H16" s="10">
        <v>2</v>
      </c>
      <c r="I16" s="10">
        <v>2</v>
      </c>
    </row>
    <row r="17" spans="1:9" x14ac:dyDescent="0.25">
      <c r="A17" s="9" t="s">
        <v>131</v>
      </c>
      <c r="B17" s="10">
        <v>1</v>
      </c>
      <c r="C17" s="10">
        <v>4</v>
      </c>
      <c r="D17" s="9" t="s">
        <v>132</v>
      </c>
      <c r="E17" s="10">
        <v>4</v>
      </c>
      <c r="F17" s="9" t="s">
        <v>16</v>
      </c>
      <c r="G17" s="10">
        <v>1</v>
      </c>
      <c r="H17" s="10">
        <v>2</v>
      </c>
      <c r="I17" s="10">
        <v>0</v>
      </c>
    </row>
    <row r="18" spans="1:9" x14ac:dyDescent="0.25">
      <c r="A18" s="9" t="s">
        <v>131</v>
      </c>
      <c r="B18" s="10">
        <v>1</v>
      </c>
      <c r="C18" s="10">
        <v>4</v>
      </c>
      <c r="D18" s="9" t="s">
        <v>132</v>
      </c>
      <c r="E18" s="10">
        <v>4</v>
      </c>
      <c r="F18" s="9" t="s">
        <v>16</v>
      </c>
      <c r="G18" s="10">
        <v>2</v>
      </c>
      <c r="H18" s="10">
        <v>2</v>
      </c>
      <c r="I18" s="10">
        <v>0.6</v>
      </c>
    </row>
    <row r="19" spans="1:9" x14ac:dyDescent="0.25">
      <c r="A19" s="9" t="s">
        <v>131</v>
      </c>
      <c r="B19" s="10">
        <v>1</v>
      </c>
      <c r="C19" s="10">
        <v>4</v>
      </c>
      <c r="D19" s="9" t="s">
        <v>132</v>
      </c>
      <c r="E19" s="10">
        <v>4</v>
      </c>
      <c r="F19" s="9" t="s">
        <v>16</v>
      </c>
      <c r="G19" s="10">
        <v>3</v>
      </c>
      <c r="H19" s="10">
        <v>2</v>
      </c>
      <c r="I19" s="10">
        <v>2.4</v>
      </c>
    </row>
    <row r="20" spans="1:9" x14ac:dyDescent="0.25">
      <c r="A20" s="9" t="s">
        <v>131</v>
      </c>
      <c r="B20" s="10">
        <v>1</v>
      </c>
      <c r="C20" s="10">
        <v>4</v>
      </c>
      <c r="D20" s="9" t="s">
        <v>132</v>
      </c>
      <c r="E20" s="10">
        <v>4</v>
      </c>
      <c r="F20" s="9" t="s">
        <v>16</v>
      </c>
      <c r="G20" s="10">
        <v>4</v>
      </c>
      <c r="H20" s="10">
        <v>2</v>
      </c>
      <c r="I20" s="10">
        <v>1.6</v>
      </c>
    </row>
    <row r="21" spans="1:9" x14ac:dyDescent="0.25">
      <c r="A21" s="9" t="s">
        <v>131</v>
      </c>
      <c r="B21" s="10">
        <v>1</v>
      </c>
      <c r="C21" s="10">
        <v>4</v>
      </c>
      <c r="D21" s="9" t="s">
        <v>132</v>
      </c>
      <c r="E21" s="10">
        <v>4</v>
      </c>
      <c r="F21" s="9" t="s">
        <v>16</v>
      </c>
      <c r="G21" s="10">
        <v>5</v>
      </c>
      <c r="H21" s="10">
        <v>2</v>
      </c>
      <c r="I21" s="10">
        <v>2</v>
      </c>
    </row>
    <row r="22" spans="1:9" x14ac:dyDescent="0.25">
      <c r="A22" s="9" t="s">
        <v>131</v>
      </c>
      <c r="B22" s="10">
        <v>1</v>
      </c>
      <c r="C22" s="10">
        <v>5</v>
      </c>
      <c r="D22" s="9" t="s">
        <v>132</v>
      </c>
      <c r="E22" s="10">
        <v>5</v>
      </c>
      <c r="F22" s="9" t="s">
        <v>17</v>
      </c>
      <c r="G22" s="10">
        <v>1</v>
      </c>
      <c r="H22" s="10">
        <v>4</v>
      </c>
      <c r="I22" s="10">
        <v>0</v>
      </c>
    </row>
    <row r="23" spans="1:9" x14ac:dyDescent="0.25">
      <c r="A23" s="9" t="s">
        <v>131</v>
      </c>
      <c r="B23" s="10">
        <v>1</v>
      </c>
      <c r="C23" s="10">
        <v>5</v>
      </c>
      <c r="D23" s="9" t="s">
        <v>132</v>
      </c>
      <c r="E23" s="10">
        <v>5</v>
      </c>
      <c r="F23" s="9" t="s">
        <v>17</v>
      </c>
      <c r="G23" s="10">
        <v>2</v>
      </c>
      <c r="H23" s="10">
        <v>4</v>
      </c>
      <c r="I23" s="10">
        <v>1.2</v>
      </c>
    </row>
    <row r="24" spans="1:9" x14ac:dyDescent="0.25">
      <c r="A24" s="9" t="s">
        <v>131</v>
      </c>
      <c r="B24" s="10">
        <v>1</v>
      </c>
      <c r="C24" s="10">
        <v>5</v>
      </c>
      <c r="D24" s="9" t="s">
        <v>132</v>
      </c>
      <c r="E24" s="10">
        <v>5</v>
      </c>
      <c r="F24" s="9" t="s">
        <v>17</v>
      </c>
      <c r="G24" s="10">
        <v>3</v>
      </c>
      <c r="H24" s="10">
        <v>4</v>
      </c>
      <c r="I24" s="10">
        <v>2.4</v>
      </c>
    </row>
    <row r="25" spans="1:9" x14ac:dyDescent="0.25">
      <c r="A25" s="9" t="s">
        <v>131</v>
      </c>
      <c r="B25" s="10">
        <v>1</v>
      </c>
      <c r="C25" s="10">
        <v>5</v>
      </c>
      <c r="D25" s="9" t="s">
        <v>132</v>
      </c>
      <c r="E25" s="10">
        <v>5</v>
      </c>
      <c r="F25" s="9" t="s">
        <v>17</v>
      </c>
      <c r="G25" s="10">
        <v>4</v>
      </c>
      <c r="H25" s="10">
        <v>4</v>
      </c>
      <c r="I25" s="10">
        <v>3.2</v>
      </c>
    </row>
    <row r="26" spans="1:9" x14ac:dyDescent="0.25">
      <c r="A26" s="9" t="s">
        <v>131</v>
      </c>
      <c r="B26" s="10">
        <v>1</v>
      </c>
      <c r="C26" s="10">
        <v>5</v>
      </c>
      <c r="D26" s="9" t="s">
        <v>132</v>
      </c>
      <c r="E26" s="10">
        <v>5</v>
      </c>
      <c r="F26" s="9" t="s">
        <v>17</v>
      </c>
      <c r="G26" s="10">
        <v>5</v>
      </c>
      <c r="H26" s="10">
        <v>4</v>
      </c>
      <c r="I26" s="10">
        <v>4</v>
      </c>
    </row>
    <row r="27" spans="1:9" x14ac:dyDescent="0.25">
      <c r="A27" s="9" t="s">
        <v>131</v>
      </c>
      <c r="B27" s="10">
        <v>1</v>
      </c>
      <c r="C27" s="10">
        <v>6</v>
      </c>
      <c r="D27" s="9" t="s">
        <v>132</v>
      </c>
      <c r="E27" s="10">
        <v>6</v>
      </c>
      <c r="F27" s="9" t="s">
        <v>18</v>
      </c>
      <c r="G27" s="10">
        <v>1</v>
      </c>
      <c r="H27" s="10">
        <v>4</v>
      </c>
      <c r="I27" s="10">
        <v>0</v>
      </c>
    </row>
    <row r="28" spans="1:9" x14ac:dyDescent="0.25">
      <c r="A28" s="9" t="s">
        <v>131</v>
      </c>
      <c r="B28" s="10">
        <v>1</v>
      </c>
      <c r="C28" s="10">
        <v>6</v>
      </c>
      <c r="D28" s="9" t="s">
        <v>132</v>
      </c>
      <c r="E28" s="10">
        <v>6</v>
      </c>
      <c r="F28" s="9" t="s">
        <v>18</v>
      </c>
      <c r="G28" s="10">
        <v>2</v>
      </c>
      <c r="H28" s="10">
        <v>4</v>
      </c>
      <c r="I28" s="10">
        <v>1.2</v>
      </c>
    </row>
    <row r="29" spans="1:9" x14ac:dyDescent="0.25">
      <c r="A29" s="9" t="s">
        <v>131</v>
      </c>
      <c r="B29" s="10">
        <v>1</v>
      </c>
      <c r="C29" s="10">
        <v>6</v>
      </c>
      <c r="D29" s="9" t="s">
        <v>132</v>
      </c>
      <c r="E29" s="10">
        <v>6</v>
      </c>
      <c r="F29" s="9" t="s">
        <v>18</v>
      </c>
      <c r="G29" s="10">
        <v>3</v>
      </c>
      <c r="H29" s="10">
        <v>4</v>
      </c>
      <c r="I29" s="10">
        <v>2.4</v>
      </c>
    </row>
    <row r="30" spans="1:9" x14ac:dyDescent="0.25">
      <c r="A30" s="9" t="s">
        <v>131</v>
      </c>
      <c r="B30" s="10">
        <v>1</v>
      </c>
      <c r="C30" s="10">
        <v>6</v>
      </c>
      <c r="D30" s="9" t="s">
        <v>132</v>
      </c>
      <c r="E30" s="10">
        <v>6</v>
      </c>
      <c r="F30" s="9" t="s">
        <v>18</v>
      </c>
      <c r="G30" s="10">
        <v>4</v>
      </c>
      <c r="H30" s="10">
        <v>4</v>
      </c>
      <c r="I30" s="10">
        <v>3.2</v>
      </c>
    </row>
    <row r="31" spans="1:9" x14ac:dyDescent="0.25">
      <c r="A31" s="9" t="s">
        <v>131</v>
      </c>
      <c r="B31" s="10">
        <v>1</v>
      </c>
      <c r="C31" s="10">
        <v>6</v>
      </c>
      <c r="D31" s="9" t="s">
        <v>132</v>
      </c>
      <c r="E31" s="10">
        <v>6</v>
      </c>
      <c r="F31" s="9" t="s">
        <v>18</v>
      </c>
      <c r="G31" s="10">
        <v>5</v>
      </c>
      <c r="H31" s="10">
        <v>4</v>
      </c>
      <c r="I31" s="10">
        <v>4</v>
      </c>
    </row>
    <row r="32" spans="1:9" x14ac:dyDescent="0.25">
      <c r="A32" s="9" t="s">
        <v>131</v>
      </c>
      <c r="B32" s="10">
        <v>1</v>
      </c>
      <c r="C32" s="10">
        <v>7</v>
      </c>
      <c r="D32" s="9" t="s">
        <v>132</v>
      </c>
      <c r="E32" s="10">
        <v>7</v>
      </c>
      <c r="F32" s="9" t="s">
        <v>19</v>
      </c>
      <c r="G32" s="10">
        <v>1</v>
      </c>
      <c r="H32" s="10">
        <v>4</v>
      </c>
      <c r="I32" s="10">
        <v>0</v>
      </c>
    </row>
    <row r="33" spans="1:9" x14ac:dyDescent="0.25">
      <c r="A33" s="9" t="s">
        <v>131</v>
      </c>
      <c r="B33" s="10">
        <v>1</v>
      </c>
      <c r="C33" s="10">
        <v>7</v>
      </c>
      <c r="D33" s="9" t="s">
        <v>132</v>
      </c>
      <c r="E33" s="10">
        <v>7</v>
      </c>
      <c r="F33" s="9" t="s">
        <v>19</v>
      </c>
      <c r="G33" s="10">
        <v>2</v>
      </c>
      <c r="H33" s="10">
        <v>4</v>
      </c>
      <c r="I33" s="10">
        <v>1.2</v>
      </c>
    </row>
    <row r="34" spans="1:9" x14ac:dyDescent="0.25">
      <c r="A34" s="9" t="s">
        <v>131</v>
      </c>
      <c r="B34" s="10">
        <v>1</v>
      </c>
      <c r="C34" s="10">
        <v>7</v>
      </c>
      <c r="D34" s="9" t="s">
        <v>132</v>
      </c>
      <c r="E34" s="10">
        <v>7</v>
      </c>
      <c r="F34" s="9" t="s">
        <v>19</v>
      </c>
      <c r="G34" s="10">
        <v>3</v>
      </c>
      <c r="H34" s="10">
        <v>4</v>
      </c>
      <c r="I34" s="10">
        <v>2.4</v>
      </c>
    </row>
    <row r="35" spans="1:9" x14ac:dyDescent="0.25">
      <c r="A35" s="9" t="s">
        <v>131</v>
      </c>
      <c r="B35" s="10">
        <v>1</v>
      </c>
      <c r="C35" s="10">
        <v>7</v>
      </c>
      <c r="D35" s="9" t="s">
        <v>132</v>
      </c>
      <c r="E35" s="10">
        <v>7</v>
      </c>
      <c r="F35" s="9" t="s">
        <v>19</v>
      </c>
      <c r="G35" s="10">
        <v>4</v>
      </c>
      <c r="H35" s="10">
        <v>4</v>
      </c>
      <c r="I35" s="10">
        <v>3.2</v>
      </c>
    </row>
    <row r="36" spans="1:9" x14ac:dyDescent="0.25">
      <c r="A36" s="9" t="s">
        <v>131</v>
      </c>
      <c r="B36" s="10">
        <v>1</v>
      </c>
      <c r="C36" s="10">
        <v>7</v>
      </c>
      <c r="D36" s="9" t="s">
        <v>132</v>
      </c>
      <c r="E36" s="10">
        <v>7</v>
      </c>
      <c r="F36" s="9" t="s">
        <v>19</v>
      </c>
      <c r="G36" s="10">
        <v>5</v>
      </c>
      <c r="H36" s="10">
        <v>4</v>
      </c>
      <c r="I36" s="10">
        <v>4</v>
      </c>
    </row>
    <row r="37" spans="1:9" x14ac:dyDescent="0.25">
      <c r="A37" s="9" t="s">
        <v>131</v>
      </c>
      <c r="B37" s="10">
        <v>1</v>
      </c>
      <c r="C37" s="10">
        <v>8</v>
      </c>
      <c r="D37" s="9" t="s">
        <v>135</v>
      </c>
      <c r="E37" s="10">
        <v>8</v>
      </c>
      <c r="F37" s="9" t="s">
        <v>20</v>
      </c>
      <c r="G37" s="10">
        <v>0</v>
      </c>
      <c r="H37" s="10">
        <v>8</v>
      </c>
      <c r="I37" s="10">
        <v>0.5</v>
      </c>
    </row>
    <row r="38" spans="1:9" x14ac:dyDescent="0.25">
      <c r="A38" s="9" t="s">
        <v>131</v>
      </c>
      <c r="B38" s="10">
        <v>1</v>
      </c>
      <c r="C38" s="10">
        <v>9</v>
      </c>
      <c r="D38" s="9" t="s">
        <v>135</v>
      </c>
      <c r="E38" s="10">
        <v>9</v>
      </c>
      <c r="F38" s="9" t="s">
        <v>179</v>
      </c>
      <c r="G38" s="10">
        <v>0</v>
      </c>
      <c r="H38" s="10">
        <v>8</v>
      </c>
      <c r="I38" s="10">
        <v>0.5</v>
      </c>
    </row>
  </sheetData>
  <autoFilter ref="A1:I37" xr:uid="{68F7EB93-4B09-49D1-8ED3-B53005CD560C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A272C-BD31-499E-A274-4850D86BBD2A}">
  <sheetPr codeName="Hoja4"/>
  <dimension ref="A1:L11"/>
  <sheetViews>
    <sheetView workbookViewId="0">
      <selection activeCell="L2" sqref="L2"/>
    </sheetView>
  </sheetViews>
  <sheetFormatPr baseColWidth="10" defaultRowHeight="15" x14ac:dyDescent="0.25"/>
  <cols>
    <col min="3" max="3" width="11.85546875" bestFit="1" customWidth="1"/>
  </cols>
  <sheetData>
    <row r="1" spans="1:12" x14ac:dyDescent="0.25">
      <c r="A1" t="str" cm="1">
        <f t="array" ref="A1:A3">IF(_xlfn.UNIQUE(item!B:B)=0,"",_xlfn.UNIQUE(item!B:B))</f>
        <v>forma</v>
      </c>
      <c r="B1" t="str" cm="1">
        <f t="array" ref="B1:B11">IF(_xlfn.UNIQUE(item!C:C)=0,"",_xlfn.UNIQUE(item!C:C))</f>
        <v>item_orden</v>
      </c>
      <c r="C1" t="s">
        <v>153</v>
      </c>
      <c r="D1" t="s">
        <v>126</v>
      </c>
      <c r="E1" t="str" cm="1">
        <f t="array" ref="E1:E11">IF(_xlfn.UNIQUE(item!F1:F993)=0,"",_xlfn.UNIQUE(item!F1:F993))</f>
        <v>item_nombre</v>
      </c>
      <c r="F1" t="s">
        <v>170</v>
      </c>
      <c r="G1" t="s">
        <v>175</v>
      </c>
      <c r="J1" t="s">
        <v>176</v>
      </c>
      <c r="K1" t="s">
        <v>174</v>
      </c>
      <c r="L1" t="s">
        <v>152</v>
      </c>
    </row>
    <row r="2" spans="1:12" x14ac:dyDescent="0.25">
      <c r="A2">
        <v>1</v>
      </c>
      <c r="B2">
        <v>1</v>
      </c>
      <c r="C2" cm="1">
        <f t="array" aca="1" ref="C2:C10" ca="1">_xlfn.XLOOKUP(INDIRECT("B2:B"&amp;L2+1),item!C2:C1000,item!H2:H1000,"",0,1)</f>
        <v>4</v>
      </c>
      <c r="D2" cm="1">
        <f t="array" aca="1" ref="D2:D10" ca="1">_xlfn.XLOOKUP(INDIRECT("B2:B"&amp;L2+1),item!C2:C1000,item!E2:E1000,"",0,1)</f>
        <v>1</v>
      </c>
      <c r="E2" t="str">
        <v>1. Observación A,E,I,O,U Interacciones y Objetos.</v>
      </c>
      <c r="F2" t="str" cm="1">
        <f t="array" aca="1" ref="F2:F10" ca="1">_xlfn.XLOOKUP(INDIRECT("B2:B"&amp;L2+1),item!C2:C1000,item!D2:D1000,"",0,1)</f>
        <v>RU</v>
      </c>
      <c r="G2" cm="1">
        <f t="array" aca="1" ref="G2:G10" ca="1">_xlfn.XLOOKUP(INDIRECT("B2:B"&amp;L2+1),item!C2:C1000,item!I2:I1000,"",0,1)</f>
        <v>0</v>
      </c>
      <c r="J2">
        <f>MAX(item!B:B)</f>
        <v>1</v>
      </c>
      <c r="K2">
        <f>MAX(escala!B2:B10)</f>
        <v>5</v>
      </c>
      <c r="L2">
        <f>COUNTA(B1:B101)-2</f>
        <v>9</v>
      </c>
    </row>
    <row r="3" spans="1:12" x14ac:dyDescent="0.25">
      <c r="A3" t="str">
        <v/>
      </c>
      <c r="B3">
        <v>2</v>
      </c>
      <c r="C3">
        <f ca="1"/>
        <v>4</v>
      </c>
      <c r="D3">
        <f ca="1"/>
        <v>2</v>
      </c>
      <c r="E3" t="str">
        <v>2.  Observación A,E,I,O,U Interacciones y Objetos.</v>
      </c>
      <c r="F3" t="str">
        <f ca="1"/>
        <v>RU</v>
      </c>
      <c r="G3">
        <f ca="1"/>
        <v>0</v>
      </c>
    </row>
    <row r="4" spans="1:12" x14ac:dyDescent="0.25">
      <c r="B4">
        <v>3</v>
      </c>
      <c r="C4">
        <f ca="1"/>
        <v>2</v>
      </c>
      <c r="D4">
        <f ca="1"/>
        <v>3</v>
      </c>
      <c r="E4" t="str">
        <v>3. Observación A, E, I,O,U Usuarios.</v>
      </c>
      <c r="F4" t="str">
        <f ca="1"/>
        <v>RU</v>
      </c>
      <c r="G4">
        <f ca="1"/>
        <v>0</v>
      </c>
    </row>
    <row r="5" spans="1:12" x14ac:dyDescent="0.25">
      <c r="B5">
        <v>4</v>
      </c>
      <c r="C5">
        <f ca="1"/>
        <v>2</v>
      </c>
      <c r="D5">
        <f ca="1"/>
        <v>4</v>
      </c>
      <c r="E5" t="str">
        <v>4. Reflexión.</v>
      </c>
      <c r="F5" t="str">
        <f ca="1"/>
        <v>RU</v>
      </c>
      <c r="G5">
        <f ca="1"/>
        <v>0</v>
      </c>
    </row>
    <row r="6" spans="1:12" x14ac:dyDescent="0.25">
      <c r="B6">
        <v>5</v>
      </c>
      <c r="C6">
        <f ca="1"/>
        <v>4</v>
      </c>
      <c r="D6">
        <f ca="1"/>
        <v>5</v>
      </c>
      <c r="E6" t="str">
        <v>5. Definición del Problema.</v>
      </c>
      <c r="F6" t="str">
        <f ca="1"/>
        <v>RU</v>
      </c>
      <c r="G6">
        <f ca="1"/>
        <v>0</v>
      </c>
    </row>
    <row r="7" spans="1:12" x14ac:dyDescent="0.25">
      <c r="B7">
        <v>6</v>
      </c>
      <c r="C7">
        <f ca="1"/>
        <v>4</v>
      </c>
      <c r="D7">
        <f ca="1"/>
        <v>6</v>
      </c>
      <c r="E7" t="str">
        <v>6. Solución Creativa</v>
      </c>
      <c r="F7" t="str">
        <f ca="1"/>
        <v>RU</v>
      </c>
      <c r="G7">
        <f ca="1"/>
        <v>0</v>
      </c>
    </row>
    <row r="8" spans="1:12" x14ac:dyDescent="0.25">
      <c r="B8">
        <v>7</v>
      </c>
      <c r="C8">
        <f ca="1"/>
        <v>4</v>
      </c>
      <c r="D8">
        <f ca="1"/>
        <v>7</v>
      </c>
      <c r="E8" t="str">
        <v>7. Bitácora</v>
      </c>
      <c r="F8" t="str">
        <f ca="1"/>
        <v>RU</v>
      </c>
      <c r="G8">
        <f ca="1"/>
        <v>0</v>
      </c>
    </row>
    <row r="9" spans="1:12" x14ac:dyDescent="0.25">
      <c r="B9">
        <v>8</v>
      </c>
      <c r="C9">
        <f ca="1"/>
        <v>8</v>
      </c>
      <c r="D9">
        <f ca="1"/>
        <v>8</v>
      </c>
      <c r="E9" t="str">
        <v>8. Quiz de desempeño Individual</v>
      </c>
      <c r="F9" t="str">
        <f ca="1"/>
        <v>DE</v>
      </c>
      <c r="G9">
        <f ca="1"/>
        <v>0.5</v>
      </c>
    </row>
    <row r="10" spans="1:12" x14ac:dyDescent="0.25">
      <c r="B10">
        <v>9</v>
      </c>
      <c r="C10">
        <f ca="1"/>
        <v>8</v>
      </c>
      <c r="D10">
        <f ca="1"/>
        <v>9</v>
      </c>
      <c r="E10" t="str">
        <v>9. Quiz de deseasdasd</v>
      </c>
      <c r="F10" t="str">
        <f ca="1"/>
        <v>DE</v>
      </c>
      <c r="G10">
        <f ca="1"/>
        <v>0.5</v>
      </c>
    </row>
    <row r="11" spans="1:12" x14ac:dyDescent="0.25">
      <c r="B11" t="str">
        <v/>
      </c>
      <c r="E11" t="str">
        <v/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F89CA-D144-40E4-8667-C19CF649C344}">
  <sheetPr codeName="Hoja6"/>
  <dimension ref="A1:Q2"/>
  <sheetViews>
    <sheetView workbookViewId="0">
      <selection activeCell="G2" sqref="A2:G2"/>
    </sheetView>
  </sheetViews>
  <sheetFormatPr baseColWidth="10" defaultRowHeight="15" x14ac:dyDescent="0.25"/>
  <cols>
    <col min="1" max="1" width="18.42578125" bestFit="1" customWidth="1"/>
    <col min="2" max="2" width="8.85546875" bestFit="1" customWidth="1"/>
    <col min="12" max="12" width="79.28515625" bestFit="1" customWidth="1"/>
  </cols>
  <sheetData>
    <row r="1" spans="1:17" x14ac:dyDescent="0.25">
      <c r="A1" s="11" t="s">
        <v>122</v>
      </c>
      <c r="B1" s="11" t="s">
        <v>136</v>
      </c>
      <c r="C1" s="11" t="s">
        <v>137</v>
      </c>
      <c r="D1" s="11" t="s">
        <v>138</v>
      </c>
      <c r="E1" s="11" t="s">
        <v>139</v>
      </c>
      <c r="F1" s="11" t="s">
        <v>140</v>
      </c>
      <c r="G1" s="11" t="s">
        <v>141</v>
      </c>
      <c r="H1" s="11" t="s">
        <v>142</v>
      </c>
      <c r="I1" s="11" t="s">
        <v>143</v>
      </c>
      <c r="J1" s="11" t="s">
        <v>144</v>
      </c>
      <c r="K1" s="11" t="s">
        <v>145</v>
      </c>
      <c r="L1" s="11" t="s">
        <v>146</v>
      </c>
      <c r="M1" s="11" t="s">
        <v>147</v>
      </c>
      <c r="N1" s="11" t="s">
        <v>9</v>
      </c>
      <c r="O1" s="11" t="s">
        <v>148</v>
      </c>
      <c r="P1" s="19" t="s">
        <v>171</v>
      </c>
      <c r="Q1" s="19" t="s">
        <v>172</v>
      </c>
    </row>
    <row r="2" spans="1:17" x14ac:dyDescent="0.25">
      <c r="A2" s="12" t="s">
        <v>131</v>
      </c>
      <c r="B2" s="12" t="s">
        <v>32</v>
      </c>
      <c r="C2" s="13">
        <v>2024</v>
      </c>
      <c r="D2" s="13">
        <v>1</v>
      </c>
      <c r="E2" s="13">
        <v>1</v>
      </c>
      <c r="F2" s="12" t="s">
        <v>31</v>
      </c>
      <c r="G2" s="12" t="s">
        <v>149</v>
      </c>
      <c r="H2" s="12" t="s">
        <v>149</v>
      </c>
      <c r="I2" s="12" t="s">
        <v>149</v>
      </c>
      <c r="J2" s="12" t="s">
        <v>149</v>
      </c>
      <c r="K2" s="12" t="s">
        <v>150</v>
      </c>
      <c r="L2" s="12" t="s">
        <v>151</v>
      </c>
      <c r="M2" s="14">
        <v>45393.330124242035</v>
      </c>
      <c r="N2" s="13">
        <v>0.6</v>
      </c>
      <c r="O2" s="15"/>
      <c r="P2" t="s">
        <v>32</v>
      </c>
      <c r="Q2" t="s">
        <v>173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VA_EMP1101-006D</vt:lpstr>
      <vt:lpstr>Hoja1</vt:lpstr>
      <vt:lpstr>escala</vt:lpstr>
      <vt:lpstr>item</vt:lpstr>
      <vt:lpstr>datos</vt:lpstr>
      <vt:lpstr>Eval</vt:lpstr>
      <vt:lpstr>'VA_EMP1101-006D'!Área_de_impresión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rleall</dc:creator>
  <cp:lastModifiedBy>Leandro Gutierrez A.</cp:lastModifiedBy>
  <cp:lastPrinted>2012-11-30T22:55:58Z</cp:lastPrinted>
  <dcterms:created xsi:type="dcterms:W3CDTF">2011-09-13T21:15:38Z</dcterms:created>
  <dcterms:modified xsi:type="dcterms:W3CDTF">2024-05-10T14:04:26Z</dcterms:modified>
</cp:coreProperties>
</file>